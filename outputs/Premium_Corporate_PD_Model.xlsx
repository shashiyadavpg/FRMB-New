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Model Logic &amp; Inputs" sheetId="2" r:id="rId2"/>
    <sheet name="Forensic Audit" sheetId="3" r:id="rId3"/>
    <sheet name="Transparent Calc" sheetId="4" r:id="rId4"/>
    <sheet name="Full Data" sheetId="5" r:id="rId5"/>
    <sheet name="Scenario Analysis" sheetId="6" r:id="rId6"/>
  </sheets>
  <definedNames>
    <definedName name="_xlnm._FilterDatabase" localSheetId="4" hidden="1">'Full Data'!$A$1:$I$404</definedName>
  </definedNames>
  <calcPr calcId="124519" fullCalcOnLoad="1"/>
</workbook>
</file>

<file path=xl/sharedStrings.xml><?xml version="1.0" encoding="utf-8"?>
<sst xmlns="http://schemas.openxmlformats.org/spreadsheetml/2006/main" count="1292" uniqueCount="293">
  <si>
    <t>FRMB Premium PD Model - Executive Summary</t>
  </si>
  <si>
    <t>Model Performance KPIs</t>
  </si>
  <si>
    <t>AUC (Discriminatory Power)</t>
  </si>
  <si>
    <t>KS Statistic</t>
  </si>
  <si>
    <t>Stress Test Summary</t>
  </si>
  <si>
    <t>Baseline PD (Avg)</t>
  </si>
  <si>
    <t>Severe Recession (+2% Rates, -5% GDP)</t>
  </si>
  <si>
    <t>Feature Engineering Logic</t>
  </si>
  <si>
    <t>Feature</t>
  </si>
  <si>
    <t>Definition / Formula</t>
  </si>
  <si>
    <t>Business Logic</t>
  </si>
  <si>
    <t>DebtToEquity</t>
  </si>
  <si>
    <t>Measures leverage leverage. High values &gt; 2.0 indicate distress.</t>
  </si>
  <si>
    <t>ROA</t>
  </si>
  <si>
    <t>Efficiency ratio. Negative ROA destroys value.</t>
  </si>
  <si>
    <t>InterestCoverage</t>
  </si>
  <si>
    <t>Ability to pay debt service. &lt; 1.5 is critical warning.</t>
  </si>
  <si>
    <t>Z_Score</t>
  </si>
  <si>
    <t>Composite distress score. &lt; 1.8 implies bankruptcy zone.</t>
  </si>
  <si>
    <t>Volatility_1Y</t>
  </si>
  <si>
    <t>StdDev(Daily Returns)*Sqrt(252)</t>
  </si>
  <si>
    <t>Market uncertainty. Distressed firms exhibit high vol.</t>
  </si>
  <si>
    <t>Forensic Validation Report</t>
  </si>
  <si>
    <t>1. Multicollinearity Check (VIF)</t>
  </si>
  <si>
    <t>feature</t>
  </si>
  <si>
    <t>VIF</t>
  </si>
  <si>
    <t>NetMargin</t>
  </si>
  <si>
    <t>EBITDAMargin</t>
  </si>
  <si>
    <t>DebtToAssets</t>
  </si>
  <si>
    <t>OCF_to_Debt</t>
  </si>
  <si>
    <t>CurrentRatio</t>
  </si>
  <si>
    <t>MarketCap_to_Assets</t>
  </si>
  <si>
    <t>Return_1Y</t>
  </si>
  <si>
    <t>O_Score</t>
  </si>
  <si>
    <t>ROA_Lag1</t>
  </si>
  <si>
    <t>DE_Lag1</t>
  </si>
  <si>
    <t>Slope_Leverage</t>
  </si>
  <si>
    <t>2. Data Integrity Checks</t>
  </si>
  <si>
    <t>Check</t>
  </si>
  <si>
    <t>Status</t>
  </si>
  <si>
    <t>Details</t>
  </si>
  <si>
    <t>Missing Critical Values</t>
  </si>
  <si>
    <t>PASS</t>
  </si>
  <si>
    <t>0 Nulls found in Features</t>
  </si>
  <si>
    <t>Duplicate Records</t>
  </si>
  <si>
    <t>Unique Ticker-Year keys</t>
  </si>
  <si>
    <t>Negative Assets</t>
  </si>
  <si>
    <t>None found</t>
  </si>
  <si>
    <t>Test Data Leakage</t>
  </si>
  <si>
    <t>Strict Year Split (Train &lt; 2023)</t>
  </si>
  <si>
    <t>White-Box Model Calculation</t>
  </si>
  <si>
    <t>See 'Corporate_PD_Model_Dashboard_v2.xlsx' for granular row-level calc.</t>
  </si>
  <si>
    <t>Ticker</t>
  </si>
  <si>
    <t>Company</t>
  </si>
  <si>
    <t>Year</t>
  </si>
  <si>
    <t>Manual_Rating</t>
  </si>
  <si>
    <t>PD_Calibrated</t>
  </si>
  <si>
    <t>PD_Logistic</t>
  </si>
  <si>
    <t>PD_XGB</t>
  </si>
  <si>
    <t>AAL</t>
  </si>
  <si>
    <t>AAPL</t>
  </si>
  <si>
    <t>ABBV</t>
  </si>
  <si>
    <t>ADANIENT.NS</t>
  </si>
  <si>
    <t>ADANIGREEN.NS</t>
  </si>
  <si>
    <t>ADANIPORTS.NS</t>
  </si>
  <si>
    <t>ADBE</t>
  </si>
  <si>
    <t>AMC</t>
  </si>
  <si>
    <t>AMD</t>
  </si>
  <si>
    <t>AMGN</t>
  </si>
  <si>
    <t>AMZN</t>
  </si>
  <si>
    <t>ASIANPAINT.NS</t>
  </si>
  <si>
    <t>AXISBANK.NS</t>
  </si>
  <si>
    <t>AZN</t>
  </si>
  <si>
    <t>BA</t>
  </si>
  <si>
    <t>BABA</t>
  </si>
  <si>
    <t>BAJFINANCE.NS</t>
  </si>
  <si>
    <t>BBBY</t>
  </si>
  <si>
    <t>BHARTIARTL.NS</t>
  </si>
  <si>
    <t>BIDU</t>
  </si>
  <si>
    <t>BMY</t>
  </si>
  <si>
    <t>BP</t>
  </si>
  <si>
    <t>BUD</t>
  </si>
  <si>
    <t>CCL</t>
  </si>
  <si>
    <t>CHTR</t>
  </si>
  <si>
    <t>CMCSA</t>
  </si>
  <si>
    <t>COIN</t>
  </si>
  <si>
    <t>COST</t>
  </si>
  <si>
    <t>CRM</t>
  </si>
  <si>
    <t>CSCO</t>
  </si>
  <si>
    <t>CVNA</t>
  </si>
  <si>
    <t>CVX</t>
  </si>
  <si>
    <t>DEO</t>
  </si>
  <si>
    <t>DIS</t>
  </si>
  <si>
    <t>DMART.NS</t>
  </si>
  <si>
    <t>F</t>
  </si>
  <si>
    <t>GE</t>
  </si>
  <si>
    <t>GILD</t>
  </si>
  <si>
    <t>GM</t>
  </si>
  <si>
    <t>GOOGL</t>
  </si>
  <si>
    <t>HDFCBANK.NS</t>
  </si>
  <si>
    <t>HINDUNILVR.NS</t>
  </si>
  <si>
    <t>HMC</t>
  </si>
  <si>
    <t>IBM</t>
  </si>
  <si>
    <t>ICICIBANK.NS</t>
  </si>
  <si>
    <t>IDEA.NS</t>
  </si>
  <si>
    <t>IDFCFIRSTB.NS</t>
  </si>
  <si>
    <t>INFY.NS</t>
  </si>
  <si>
    <t>INTC</t>
  </si>
  <si>
    <t>ITC.NS</t>
  </si>
  <si>
    <t>JNJ</t>
  </si>
  <si>
    <t>JPM</t>
  </si>
  <si>
    <t>KO</t>
  </si>
  <si>
    <t>KSS</t>
  </si>
  <si>
    <t>LICI.NS</t>
  </si>
  <si>
    <t>LLY</t>
  </si>
  <si>
    <t>LT.NS</t>
  </si>
  <si>
    <t>M</t>
  </si>
  <si>
    <t>MA</t>
  </si>
  <si>
    <t>MARUTI.NS</t>
  </si>
  <si>
    <t>META</t>
  </si>
  <si>
    <t>MRK</t>
  </si>
  <si>
    <t>MSFT</t>
  </si>
  <si>
    <t>MSTR</t>
  </si>
  <si>
    <t>NCLH</t>
  </si>
  <si>
    <t>NFLX</t>
  </si>
  <si>
    <t>NIO</t>
  </si>
  <si>
    <t>NKE</t>
  </si>
  <si>
    <t>NVDA</t>
  </si>
  <si>
    <t>NVS</t>
  </si>
  <si>
    <t>ORCL</t>
  </si>
  <si>
    <t>PEP</t>
  </si>
  <si>
    <t>PFE</t>
  </si>
  <si>
    <t>PG</t>
  </si>
  <si>
    <t>PNB.NS</t>
  </si>
  <si>
    <t>PTON</t>
  </si>
  <si>
    <t>QCOM</t>
  </si>
  <si>
    <t>RCL</t>
  </si>
  <si>
    <t>RELIANCE.NS</t>
  </si>
  <si>
    <t>SAP</t>
  </si>
  <si>
    <t>SBIN.NS</t>
  </si>
  <si>
    <t>SHEL</t>
  </si>
  <si>
    <t>SIEGY</t>
  </si>
  <si>
    <t>SONY</t>
  </si>
  <si>
    <t>SUNPHARMA.NS</t>
  </si>
  <si>
    <t>T</t>
  </si>
  <si>
    <t>TATAMOTORS.NS</t>
  </si>
  <si>
    <t>TCS.NS</t>
  </si>
  <si>
    <t>TGT</t>
  </si>
  <si>
    <t>TITAN.NS</t>
  </si>
  <si>
    <t>TM</t>
  </si>
  <si>
    <t>TMUS</t>
  </si>
  <si>
    <t>TSLA</t>
  </si>
  <si>
    <t>UAL</t>
  </si>
  <si>
    <t>UL</t>
  </si>
  <si>
    <t>ULTRACEMCO.NS</t>
  </si>
  <si>
    <t>V</t>
  </si>
  <si>
    <t>VEDL.NS</t>
  </si>
  <si>
    <t>VZ</t>
  </si>
  <si>
    <t>WEN</t>
  </si>
  <si>
    <t>WIPRO.NS</t>
  </si>
  <si>
    <t>WMT</t>
  </si>
  <si>
    <t>XOM</t>
  </si>
  <si>
    <t>American Airlines</t>
  </si>
  <si>
    <t>Apple Inc.</t>
  </si>
  <si>
    <t>AbbVie</t>
  </si>
  <si>
    <t>Adani Enterprises</t>
  </si>
  <si>
    <t>Adani Green</t>
  </si>
  <si>
    <t>Adani Ports</t>
  </si>
  <si>
    <t>Adobe</t>
  </si>
  <si>
    <t>AMC Entertainment</t>
  </si>
  <si>
    <t>Amgen</t>
  </si>
  <si>
    <t>Amazon</t>
  </si>
  <si>
    <t>Asian Paints</t>
  </si>
  <si>
    <t>Axis Bank</t>
  </si>
  <si>
    <t>AstraZeneca</t>
  </si>
  <si>
    <t>Boeing</t>
  </si>
  <si>
    <t>Alibaba</t>
  </si>
  <si>
    <t>Bajaj Finance</t>
  </si>
  <si>
    <t>Bed Bath &amp; Beyond</t>
  </si>
  <si>
    <t>Bharti Airtel</t>
  </si>
  <si>
    <t>Baidu</t>
  </si>
  <si>
    <t>Bristol-Myers</t>
  </si>
  <si>
    <t>Anheuser-Busch</t>
  </si>
  <si>
    <t>Carnival Corp</t>
  </si>
  <si>
    <t>Charter</t>
  </si>
  <si>
    <t>Comcast</t>
  </si>
  <si>
    <t>Coinbase</t>
  </si>
  <si>
    <t>Costco</t>
  </si>
  <si>
    <t>Salesforce</t>
  </si>
  <si>
    <t>Cisco</t>
  </si>
  <si>
    <t>Carvana</t>
  </si>
  <si>
    <t>Chevron</t>
  </si>
  <si>
    <t>Diageo</t>
  </si>
  <si>
    <t>Disney</t>
  </si>
  <si>
    <t>Avenue Supermarts</t>
  </si>
  <si>
    <t>Ford</t>
  </si>
  <si>
    <t>General Electric</t>
  </si>
  <si>
    <t>Gilead</t>
  </si>
  <si>
    <t>General Motors</t>
  </si>
  <si>
    <t>Alphabet</t>
  </si>
  <si>
    <t>HDFC Bank</t>
  </si>
  <si>
    <t>HUL</t>
  </si>
  <si>
    <t>Honda</t>
  </si>
  <si>
    <t>ICICI Bank</t>
  </si>
  <si>
    <t>Vodafone Idea</t>
  </si>
  <si>
    <t>IDFC First Bank</t>
  </si>
  <si>
    <t>Infosys</t>
  </si>
  <si>
    <t>Intel</t>
  </si>
  <si>
    <t>ITC</t>
  </si>
  <si>
    <t>Johnson &amp; Johnson</t>
  </si>
  <si>
    <t>JPMorgan</t>
  </si>
  <si>
    <t>Coca-Cola</t>
  </si>
  <si>
    <t>Kohl's</t>
  </si>
  <si>
    <t>LIC</t>
  </si>
  <si>
    <t>Eli Lilly</t>
  </si>
  <si>
    <t>L&amp;T</t>
  </si>
  <si>
    <t>Macy's</t>
  </si>
  <si>
    <t>Mastercard</t>
  </si>
  <si>
    <t>Maruti Suzuki</t>
  </si>
  <si>
    <t>Meta Platforms</t>
  </si>
  <si>
    <t>Merck</t>
  </si>
  <si>
    <t>Microsoft</t>
  </si>
  <si>
    <t>MicroStrategy</t>
  </si>
  <si>
    <t>Norwegian Cruise</t>
  </si>
  <si>
    <t>Netflix</t>
  </si>
  <si>
    <t>Nike</t>
  </si>
  <si>
    <t>Nvidia</t>
  </si>
  <si>
    <t>Novartis</t>
  </si>
  <si>
    <t>Oracle</t>
  </si>
  <si>
    <t>PepsiCo</t>
  </si>
  <si>
    <t>Pfizer</t>
  </si>
  <si>
    <t>P&amp;G</t>
  </si>
  <si>
    <t>PNB</t>
  </si>
  <si>
    <t>Peloton</t>
  </si>
  <si>
    <t>Qualcomm</t>
  </si>
  <si>
    <t>Royal Caribbean</t>
  </si>
  <si>
    <t>Reliance Industries</t>
  </si>
  <si>
    <t>SBI</t>
  </si>
  <si>
    <t>Shell</t>
  </si>
  <si>
    <t>Siemens</t>
  </si>
  <si>
    <t>Sony</t>
  </si>
  <si>
    <t>Sun Pharma</t>
  </si>
  <si>
    <t>AT&amp;T</t>
  </si>
  <si>
    <t>Tata Motors</t>
  </si>
  <si>
    <t>TCS</t>
  </si>
  <si>
    <t>Target</t>
  </si>
  <si>
    <t>Titan</t>
  </si>
  <si>
    <t>Toyota</t>
  </si>
  <si>
    <t>T-Mobile</t>
  </si>
  <si>
    <t>Tesla</t>
  </si>
  <si>
    <t>United Airlines</t>
  </si>
  <si>
    <t>Unilever</t>
  </si>
  <si>
    <t>UltraTech Cement</t>
  </si>
  <si>
    <t>Visa</t>
  </si>
  <si>
    <t>Vedanta</t>
  </si>
  <si>
    <t>Verizon</t>
  </si>
  <si>
    <t>Wendy's</t>
  </si>
  <si>
    <t>Wipro</t>
  </si>
  <si>
    <t>Walmart</t>
  </si>
  <si>
    <t>Exxon Mobil</t>
  </si>
  <si>
    <t>B-</t>
  </si>
  <si>
    <t>AA+</t>
  </si>
  <si>
    <t>A-</t>
  </si>
  <si>
    <t>A</t>
  </si>
  <si>
    <t>AA</t>
  </si>
  <si>
    <t>A+</t>
  </si>
  <si>
    <t>CCC</t>
  </si>
  <si>
    <t>AAA</t>
  </si>
  <si>
    <t>BBB-</t>
  </si>
  <si>
    <t>D</t>
  </si>
  <si>
    <t>BBB+</t>
  </si>
  <si>
    <t>B</t>
  </si>
  <si>
    <t>BB+</t>
  </si>
  <si>
    <t>BB-</t>
  </si>
  <si>
    <t>AA-</t>
  </si>
  <si>
    <t>BBB</t>
  </si>
  <si>
    <t>BB</t>
  </si>
  <si>
    <t>B+</t>
  </si>
  <si>
    <t>CCC+</t>
  </si>
  <si>
    <t>Stress Testing Grid</t>
  </si>
  <si>
    <t>Scenario</t>
  </si>
  <si>
    <t>Macro Assumptions</t>
  </si>
  <si>
    <t>Portfolio PD Impact</t>
  </si>
  <si>
    <t>Baseline</t>
  </si>
  <si>
    <t>None</t>
  </si>
  <si>
    <t>Mild Recession</t>
  </si>
  <si>
    <t>GDP -1%</t>
  </si>
  <si>
    <t>Severe Recession</t>
  </si>
  <si>
    <t>GDP -5%, Rates +2%</t>
  </si>
  <si>
    <t>Sector Crash</t>
  </si>
  <si>
    <t>Revenue -20%</t>
  </si>
  <si>
    <t>Liquidity Crisis</t>
  </si>
  <si>
    <t>Liability +20%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</si>
</sst>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1"/>
      <color theme="1"/>
      <name val="Calibri"/>
      <family val="2"/>
      <scheme val="minor"/>
    </font>
    <font>
      <b/>
      <sz val="18"/>
      <color rgb="FF366092"/>
      <name val="Calibri"/>
      <family val="2"/>
      <scheme val="minor"/>
    </font>
    <font>
      <b/>
      <sz val="11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5" fontId="0" fillId="0" borderId="0" xfId="0" applyNumberFormat="1"/>
    <xf numFmtId="0" fontId="3" fillId="2" borderId="2" xfId="0" applyFont="1" applyFill="1" applyBorder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</row>
    <row r="3" spans="1:6">
      <c r="A3" s="2" t="s">
        <v>1</v>
      </c>
      <c r="E3" s="2" t="s">
        <v>4</v>
      </c>
    </row>
    <row r="4" spans="1:6">
      <c r="A4" t="s">
        <v>2</v>
      </c>
      <c r="B4" s="3">
        <v>0.9887295081967212</v>
      </c>
      <c r="E4" t="s">
        <v>5</v>
      </c>
      <c r="F4" s="3">
        <v>0.0286724516451054</v>
      </c>
    </row>
    <row r="5" spans="1:6">
      <c r="A5" t="s">
        <v>3</v>
      </c>
      <c r="B5" s="4">
        <v>0.9713114754098361</v>
      </c>
      <c r="E5" t="s">
        <v>6</v>
      </c>
      <c r="F5" s="3">
        <v>0.04300867746765811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0.7109375" customWidth="1"/>
    <col min="2" max="2" width="40.7109375" customWidth="1"/>
    <col min="3" max="3" width="50.7109375" customWidth="1"/>
  </cols>
  <sheetData>
    <row r="1" spans="1:3">
      <c r="A1" s="1" t="s">
        <v>7</v>
      </c>
    </row>
    <row r="3" spans="1:3">
      <c r="A3" s="5" t="s">
        <v>8</v>
      </c>
      <c r="B3" s="5" t="s">
        <v>9</v>
      </c>
      <c r="C3" s="5" t="s">
        <v>10</v>
      </c>
    </row>
    <row r="4" spans="1:3">
      <c r="A4" t="s">
        <v>11</v>
      </c>
      <c r="B4">
        <f>TotalDebt / TotalEquity</f>
        <v>0</v>
      </c>
      <c r="C4" t="s">
        <v>12</v>
      </c>
    </row>
    <row r="5" spans="1:3">
      <c r="A5" t="s">
        <v>13</v>
      </c>
      <c r="B5">
        <f>NetIncome / TotalAssets</f>
        <v>0</v>
      </c>
      <c r="C5" t="s">
        <v>14</v>
      </c>
    </row>
    <row r="6" spans="1:3">
      <c r="A6" t="s">
        <v>15</v>
      </c>
      <c r="B6">
        <f>EBIT / InterestExpense</f>
        <v>0</v>
      </c>
      <c r="C6" t="s">
        <v>16</v>
      </c>
    </row>
    <row r="7" spans="1:3">
      <c r="A7" t="s">
        <v>17</v>
      </c>
      <c r="B7">
        <f>1.2*WC/TA + ... (Altman)</f>
        <v>0</v>
      </c>
      <c r="C7" t="s">
        <v>18</v>
      </c>
    </row>
    <row r="8" spans="1:3">
      <c r="A8" t="s">
        <v>19</v>
      </c>
      <c r="B8" t="s">
        <v>20</v>
      </c>
      <c r="C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2">
      <c r="A1" s="1" t="s">
        <v>22</v>
      </c>
    </row>
    <row r="3" spans="1:2">
      <c r="A3" s="2" t="s">
        <v>23</v>
      </c>
    </row>
    <row r="4" spans="1:2">
      <c r="A4" s="6" t="s">
        <v>24</v>
      </c>
      <c r="B4" s="6" t="s">
        <v>25</v>
      </c>
    </row>
    <row r="5" spans="1:2">
      <c r="A5" t="s">
        <v>13</v>
      </c>
      <c r="B5">
        <v>2.046236428781822</v>
      </c>
    </row>
    <row r="6" spans="1:2">
      <c r="A6" t="s">
        <v>11</v>
      </c>
      <c r="B6">
        <v>1.041502252478412</v>
      </c>
    </row>
    <row r="7" spans="1:2">
      <c r="A7" t="s">
        <v>26</v>
      </c>
      <c r="B7">
        <v>1.171606709266025</v>
      </c>
    </row>
    <row r="8" spans="1:2">
      <c r="A8" t="s">
        <v>27</v>
      </c>
      <c r="B8">
        <v>5.366106701759146</v>
      </c>
    </row>
    <row r="9" spans="1:2">
      <c r="A9" t="s">
        <v>28</v>
      </c>
      <c r="B9">
        <v>2.739911151469255</v>
      </c>
    </row>
    <row r="10" spans="1:2">
      <c r="A10" t="s">
        <v>15</v>
      </c>
      <c r="B10">
        <v>1.027004527301164</v>
      </c>
    </row>
    <row r="11" spans="1:2">
      <c r="A11" t="s">
        <v>29</v>
      </c>
      <c r="B11">
        <v>1.214685979742863</v>
      </c>
    </row>
    <row r="12" spans="1:2">
      <c r="A12" t="s">
        <v>30</v>
      </c>
      <c r="B12">
        <v>0.898592865069922</v>
      </c>
    </row>
    <row r="13" spans="1:2">
      <c r="A13" t="s">
        <v>31</v>
      </c>
      <c r="B13">
        <v>213.6381833785908</v>
      </c>
    </row>
    <row r="14" spans="1:2">
      <c r="A14" t="s">
        <v>32</v>
      </c>
      <c r="B14">
        <v>1.025731581409221</v>
      </c>
    </row>
    <row r="15" spans="1:2">
      <c r="A15" t="s">
        <v>19</v>
      </c>
      <c r="B15">
        <v>2.207885156935062</v>
      </c>
    </row>
    <row r="16" spans="1:2">
      <c r="A16" t="s">
        <v>17</v>
      </c>
      <c r="B16">
        <v>217.8914216716149</v>
      </c>
    </row>
    <row r="17" spans="1:3">
      <c r="A17" t="s">
        <v>33</v>
      </c>
      <c r="B17">
        <v>0.5621023382646645</v>
      </c>
    </row>
    <row r="18" spans="1:3">
      <c r="A18" t="s">
        <v>34</v>
      </c>
      <c r="B18">
        <v>1.384154895526492</v>
      </c>
    </row>
    <row r="19" spans="1:3">
      <c r="A19" t="s">
        <v>35</v>
      </c>
      <c r="B19">
        <v>1.072474375259506</v>
      </c>
    </row>
    <row r="20" spans="1:3">
      <c r="A20" t="s">
        <v>36</v>
      </c>
      <c r="B20">
        <v>1.460489844196659</v>
      </c>
    </row>
    <row r="21" spans="1:3">
      <c r="A21" s="2" t="s">
        <v>37</v>
      </c>
    </row>
    <row r="22" spans="1:3">
      <c r="A22" t="s">
        <v>38</v>
      </c>
      <c r="B22" t="s">
        <v>39</v>
      </c>
      <c r="C22" t="s">
        <v>40</v>
      </c>
    </row>
    <row r="23" spans="1:3">
      <c r="A23" t="s">
        <v>41</v>
      </c>
      <c r="B23" t="s">
        <v>42</v>
      </c>
      <c r="C23" t="s">
        <v>43</v>
      </c>
    </row>
    <row r="24" spans="1:3">
      <c r="A24" t="s">
        <v>44</v>
      </c>
      <c r="B24" t="s">
        <v>42</v>
      </c>
      <c r="C24" t="s">
        <v>45</v>
      </c>
    </row>
    <row r="25" spans="1:3">
      <c r="A25" t="s">
        <v>46</v>
      </c>
      <c r="B25" t="s">
        <v>42</v>
      </c>
      <c r="C25" t="s">
        <v>47</v>
      </c>
    </row>
    <row r="26" spans="1:3">
      <c r="A26" t="s">
        <v>48</v>
      </c>
      <c r="B26" t="s">
        <v>42</v>
      </c>
      <c r="C26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50</v>
      </c>
    </row>
    <row r="3" spans="1:1">
      <c r="A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04"/>
  <sheetViews>
    <sheetView workbookViewId="0"/>
  </sheetViews>
  <sheetFormatPr defaultRowHeight="15"/>
  <sheetData>
    <row r="1" spans="1:9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17</v>
      </c>
      <c r="I1" s="6" t="s">
        <v>11</v>
      </c>
    </row>
    <row r="2" spans="1:9">
      <c r="A2" t="s">
        <v>59</v>
      </c>
      <c r="B2" t="s">
        <v>162</v>
      </c>
      <c r="C2">
        <v>2021</v>
      </c>
      <c r="D2" t="s">
        <v>260</v>
      </c>
      <c r="E2">
        <v>0.0781609204908212</v>
      </c>
      <c r="F2">
        <v>0.4881454516507727</v>
      </c>
      <c r="G2">
        <v>0.0070643304</v>
      </c>
      <c r="H2">
        <v>0.3750713705172787</v>
      </c>
      <c r="I2">
        <v>-6.291144414168938</v>
      </c>
    </row>
    <row r="3" spans="1:9">
      <c r="A3" t="s">
        <v>59</v>
      </c>
      <c r="B3" t="s">
        <v>162</v>
      </c>
      <c r="C3">
        <v>2022</v>
      </c>
      <c r="D3" t="s">
        <v>260</v>
      </c>
      <c r="E3">
        <v>0.0169901425639788</v>
      </c>
      <c r="F3">
        <v>0.1651907587937225</v>
      </c>
      <c r="G3">
        <v>0.005030977</v>
      </c>
      <c r="H3">
        <v>0.8291293457308864</v>
      </c>
      <c r="I3">
        <v>-7.53354026556303</v>
      </c>
    </row>
    <row r="4" spans="1:9">
      <c r="A4" t="s">
        <v>59</v>
      </c>
      <c r="B4" t="s">
        <v>162</v>
      </c>
      <c r="C4">
        <v>2023</v>
      </c>
      <c r="D4" t="s">
        <v>260</v>
      </c>
      <c r="E4">
        <v>0.0114942528307437</v>
      </c>
      <c r="F4">
        <v>0.0861941482344725</v>
      </c>
      <c r="G4">
        <v>0.004351105</v>
      </c>
      <c r="H4">
        <v>0.9880771978226484</v>
      </c>
      <c r="I4">
        <v>-7.816801230296042</v>
      </c>
    </row>
    <row r="5" spans="1:9">
      <c r="A5" t="s">
        <v>59</v>
      </c>
      <c r="B5" t="s">
        <v>162</v>
      </c>
      <c r="C5">
        <v>2024</v>
      </c>
      <c r="D5" t="s">
        <v>260</v>
      </c>
      <c r="E5">
        <v>0.0114942528307437</v>
      </c>
      <c r="F5">
        <v>0.08521143679663511</v>
      </c>
      <c r="G5">
        <v>0.0038895998</v>
      </c>
      <c r="H5">
        <v>1.070850606322407</v>
      </c>
      <c r="I5">
        <v>-9.44028161931104</v>
      </c>
    </row>
    <row r="6" spans="1:9">
      <c r="A6" t="s">
        <v>60</v>
      </c>
      <c r="B6" t="s">
        <v>163</v>
      </c>
      <c r="C6">
        <v>2022</v>
      </c>
      <c r="D6" t="s">
        <v>261</v>
      </c>
      <c r="E6">
        <v>0.0114942528307437</v>
      </c>
      <c r="F6">
        <v>0.008901848320031699</v>
      </c>
      <c r="G6">
        <v>0.0036332188</v>
      </c>
      <c r="H6">
        <v>6.84504733429505</v>
      </c>
      <c r="I6">
        <v>2.614461635617304</v>
      </c>
    </row>
    <row r="7" spans="1:9">
      <c r="A7" t="s">
        <v>60</v>
      </c>
      <c r="B7" t="s">
        <v>163</v>
      </c>
      <c r="C7">
        <v>2023</v>
      </c>
      <c r="D7" t="s">
        <v>261</v>
      </c>
      <c r="E7">
        <v>0.0114942528307437</v>
      </c>
      <c r="F7">
        <v>0.1037505939194006</v>
      </c>
      <c r="G7">
        <v>0.0036332188</v>
      </c>
      <c r="H7">
        <v>7.809736852773303</v>
      </c>
      <c r="I7">
        <v>1.787532584558942</v>
      </c>
    </row>
    <row r="8" spans="1:9">
      <c r="A8" t="s">
        <v>60</v>
      </c>
      <c r="B8" t="s">
        <v>163</v>
      </c>
      <c r="C8">
        <v>2024</v>
      </c>
      <c r="D8" t="s">
        <v>261</v>
      </c>
      <c r="E8">
        <v>0.0114942528307437</v>
      </c>
      <c r="F8">
        <v>0.000273011699489</v>
      </c>
      <c r="G8">
        <v>0.0036332188</v>
      </c>
      <c r="H8">
        <v>9.042532736111134</v>
      </c>
      <c r="I8">
        <v>1.872326602282704</v>
      </c>
    </row>
    <row r="9" spans="1:9">
      <c r="A9" t="s">
        <v>60</v>
      </c>
      <c r="B9" t="s">
        <v>163</v>
      </c>
      <c r="C9">
        <v>2025</v>
      </c>
      <c r="D9" t="s">
        <v>261</v>
      </c>
      <c r="E9">
        <v>0.0114942528307437</v>
      </c>
      <c r="F9">
        <v>9.13339347788886E-05</v>
      </c>
      <c r="G9">
        <v>0.0036332188</v>
      </c>
      <c r="H9">
        <v>10.42155650336562</v>
      </c>
      <c r="I9">
        <v>1.338030461258866</v>
      </c>
    </row>
    <row r="10" spans="1:9">
      <c r="A10" t="s">
        <v>61</v>
      </c>
      <c r="B10" t="s">
        <v>164</v>
      </c>
      <c r="C10">
        <v>2021</v>
      </c>
      <c r="D10" t="s">
        <v>262</v>
      </c>
      <c r="E10">
        <v>0</v>
      </c>
      <c r="F10">
        <v>0.05082141202981</v>
      </c>
      <c r="G10">
        <v>0.0027753897</v>
      </c>
      <c r="H10">
        <v>1.824216037410314</v>
      </c>
      <c r="I10">
        <v>4.976895119418483</v>
      </c>
    </row>
    <row r="11" spans="1:9">
      <c r="A11" t="s">
        <v>61</v>
      </c>
      <c r="B11" t="s">
        <v>164</v>
      </c>
      <c r="C11">
        <v>2022</v>
      </c>
      <c r="D11" t="s">
        <v>262</v>
      </c>
      <c r="E11">
        <v>0</v>
      </c>
      <c r="F11">
        <v>0.0164194349598356</v>
      </c>
      <c r="G11">
        <v>0.0027753897</v>
      </c>
      <c r="H11">
        <v>2.237540916108305</v>
      </c>
      <c r="I11">
        <v>3.667033731308682</v>
      </c>
    </row>
    <row r="12" spans="1:9">
      <c r="A12" t="s">
        <v>61</v>
      </c>
      <c r="B12" t="s">
        <v>164</v>
      </c>
      <c r="C12">
        <v>2023</v>
      </c>
      <c r="D12" t="s">
        <v>262</v>
      </c>
      <c r="E12">
        <v>0</v>
      </c>
      <c r="F12">
        <v>0.0334416906076675</v>
      </c>
      <c r="G12">
        <v>0.0026488714</v>
      </c>
      <c r="H12">
        <v>1.974128510147313</v>
      </c>
      <c r="I12">
        <v>5.732142857142856</v>
      </c>
    </row>
    <row r="13" spans="1:9">
      <c r="A13" t="s">
        <v>61</v>
      </c>
      <c r="B13" t="s">
        <v>164</v>
      </c>
      <c r="C13">
        <v>2024</v>
      </c>
      <c r="D13" t="s">
        <v>262</v>
      </c>
      <c r="E13">
        <v>0</v>
      </c>
      <c r="F13">
        <v>0.0254249591697866</v>
      </c>
      <c r="G13">
        <v>0.0026488714</v>
      </c>
      <c r="H13">
        <v>2.025161886984255</v>
      </c>
      <c r="I13">
        <v>20.19368421052631</v>
      </c>
    </row>
    <row r="14" spans="1:9">
      <c r="A14" t="s">
        <v>62</v>
      </c>
      <c r="B14" t="s">
        <v>165</v>
      </c>
      <c r="C14">
        <v>2022</v>
      </c>
      <c r="D14" t="s">
        <v>263</v>
      </c>
      <c r="E14">
        <v>0</v>
      </c>
      <c r="F14">
        <v>0.0234255009165138</v>
      </c>
      <c r="G14">
        <v>0.0025976868</v>
      </c>
      <c r="H14">
        <v>2.867271223044602</v>
      </c>
      <c r="I14">
        <v>1.869297118011764</v>
      </c>
    </row>
    <row r="15" spans="1:9">
      <c r="A15" t="s">
        <v>62</v>
      </c>
      <c r="B15" t="s">
        <v>165</v>
      </c>
      <c r="C15">
        <v>2023</v>
      </c>
      <c r="D15" t="s">
        <v>263</v>
      </c>
      <c r="E15">
        <v>0</v>
      </c>
      <c r="F15">
        <v>0.0347260896931731</v>
      </c>
      <c r="G15">
        <v>0.0028943082</v>
      </c>
      <c r="H15">
        <v>2.516716609187454</v>
      </c>
      <c r="I15">
        <v>1.603963086150771</v>
      </c>
    </row>
    <row r="16" spans="1:9">
      <c r="A16" t="s">
        <v>62</v>
      </c>
      <c r="B16" t="s">
        <v>165</v>
      </c>
      <c r="C16">
        <v>2024</v>
      </c>
      <c r="D16" t="s">
        <v>263</v>
      </c>
      <c r="E16">
        <v>0</v>
      </c>
      <c r="F16">
        <v>0.0076361609222187</v>
      </c>
      <c r="G16">
        <v>0.0025976868</v>
      </c>
      <c r="H16">
        <v>3.002160658071376</v>
      </c>
      <c r="I16">
        <v>1.67135836773843</v>
      </c>
    </row>
    <row r="17" spans="1:9">
      <c r="A17" t="s">
        <v>62</v>
      </c>
      <c r="B17" t="s">
        <v>165</v>
      </c>
      <c r="C17">
        <v>2025</v>
      </c>
      <c r="D17" t="s">
        <v>263</v>
      </c>
      <c r="E17">
        <v>0</v>
      </c>
      <c r="F17">
        <v>0.0457537723004771</v>
      </c>
      <c r="G17">
        <v>0.0027555774</v>
      </c>
      <c r="H17">
        <v>2.360280049505424</v>
      </c>
      <c r="I17">
        <v>1.824923972407664</v>
      </c>
    </row>
    <row r="18" spans="1:9">
      <c r="A18" t="s">
        <v>63</v>
      </c>
      <c r="B18" t="s">
        <v>166</v>
      </c>
      <c r="C18">
        <v>2022</v>
      </c>
      <c r="D18" t="s">
        <v>262</v>
      </c>
      <c r="E18">
        <v>0.1355558137098948</v>
      </c>
      <c r="F18">
        <v>0.7847499832838596</v>
      </c>
      <c r="G18">
        <v>0.0037443442</v>
      </c>
      <c r="H18">
        <v>3.469235233996993</v>
      </c>
      <c r="I18">
        <v>20.21117061973986</v>
      </c>
    </row>
    <row r="19" spans="1:9">
      <c r="A19" t="s">
        <v>63</v>
      </c>
      <c r="B19" t="s">
        <v>166</v>
      </c>
      <c r="C19">
        <v>2023</v>
      </c>
      <c r="D19" t="s">
        <v>262</v>
      </c>
      <c r="E19">
        <v>0.0114942528307437</v>
      </c>
      <c r="F19">
        <v>0.1355294191538455</v>
      </c>
      <c r="G19">
        <v>0.004131978</v>
      </c>
      <c r="H19">
        <v>1.840001578517834</v>
      </c>
      <c r="I19">
        <v>7.423877327491786</v>
      </c>
    </row>
    <row r="20" spans="1:9">
      <c r="A20" t="s">
        <v>63</v>
      </c>
      <c r="B20" t="s">
        <v>166</v>
      </c>
      <c r="C20">
        <v>2024</v>
      </c>
      <c r="D20" t="s">
        <v>262</v>
      </c>
      <c r="E20">
        <v>0</v>
      </c>
      <c r="F20">
        <v>0.0269144761114753</v>
      </c>
      <c r="G20">
        <v>0.003378866</v>
      </c>
      <c r="H20">
        <v>2.920243809010953</v>
      </c>
      <c r="I20">
        <v>6.094531103176095</v>
      </c>
    </row>
    <row r="21" spans="1:9">
      <c r="A21" t="s">
        <v>63</v>
      </c>
      <c r="B21" t="s">
        <v>166</v>
      </c>
      <c r="C21">
        <v>2025</v>
      </c>
      <c r="D21" t="s">
        <v>262</v>
      </c>
      <c r="E21">
        <v>0.0114942528307437</v>
      </c>
      <c r="F21">
        <v>0.2340139478327402</v>
      </c>
      <c r="G21">
        <v>0.0040464667</v>
      </c>
      <c r="H21">
        <v>1.591230980227116</v>
      </c>
      <c r="I21">
        <v>6.594710389717394</v>
      </c>
    </row>
    <row r="22" spans="1:9">
      <c r="A22" t="s">
        <v>64</v>
      </c>
      <c r="B22" t="s">
        <v>167</v>
      </c>
      <c r="C22">
        <v>2022</v>
      </c>
      <c r="D22" t="s">
        <v>264</v>
      </c>
      <c r="E22">
        <v>0</v>
      </c>
      <c r="F22">
        <v>0.0900726720145128</v>
      </c>
      <c r="G22">
        <v>0.0028452561</v>
      </c>
      <c r="H22">
        <v>2.622602079526565</v>
      </c>
      <c r="I22">
        <v>1.127783697427517</v>
      </c>
    </row>
    <row r="23" spans="1:9">
      <c r="A23" t="s">
        <v>64</v>
      </c>
      <c r="B23" t="s">
        <v>167</v>
      </c>
      <c r="C23">
        <v>2023</v>
      </c>
      <c r="D23" t="s">
        <v>264</v>
      </c>
      <c r="E23">
        <v>0</v>
      </c>
      <c r="F23">
        <v>0.06556734990499349</v>
      </c>
      <c r="G23">
        <v>0.0029598498</v>
      </c>
      <c r="H23">
        <v>2.077517615771376</v>
      </c>
      <c r="I23">
        <v>1.15117508328226</v>
      </c>
    </row>
    <row r="24" spans="1:9">
      <c r="A24" t="s">
        <v>64</v>
      </c>
      <c r="B24" t="s">
        <v>167</v>
      </c>
      <c r="C24">
        <v>2024</v>
      </c>
      <c r="D24" t="s">
        <v>264</v>
      </c>
      <c r="E24">
        <v>0</v>
      </c>
      <c r="F24">
        <v>0.0056152959499006</v>
      </c>
      <c r="G24">
        <v>0.0038930434</v>
      </c>
      <c r="H24">
        <v>3.79125862259006</v>
      </c>
      <c r="I24">
        <v>0.9286405437213155</v>
      </c>
    </row>
    <row r="25" spans="1:9">
      <c r="A25" t="s">
        <v>64</v>
      </c>
      <c r="B25" t="s">
        <v>167</v>
      </c>
      <c r="C25">
        <v>2025</v>
      </c>
      <c r="D25" t="s">
        <v>264</v>
      </c>
      <c r="E25">
        <v>0</v>
      </c>
      <c r="F25">
        <v>0.042548496649545</v>
      </c>
      <c r="G25">
        <v>0.003047315</v>
      </c>
      <c r="H25">
        <v>3.39577611188634</v>
      </c>
      <c r="I25">
        <v>0.8217265880776912</v>
      </c>
    </row>
    <row r="26" spans="1:9">
      <c r="A26" t="s">
        <v>65</v>
      </c>
      <c r="B26" t="s">
        <v>168</v>
      </c>
      <c r="C26">
        <v>2021</v>
      </c>
      <c r="D26" t="s">
        <v>265</v>
      </c>
      <c r="E26">
        <v>0.0114942528307437</v>
      </c>
      <c r="F26">
        <v>0.0006656417405577</v>
      </c>
      <c r="G26">
        <v>0.004163428</v>
      </c>
      <c r="H26">
        <v>21.85804326801048</v>
      </c>
      <c r="I26">
        <v>0.3158072582280191</v>
      </c>
    </row>
    <row r="27" spans="1:9">
      <c r="A27" t="s">
        <v>65</v>
      </c>
      <c r="B27" t="s">
        <v>168</v>
      </c>
      <c r="C27">
        <v>2022</v>
      </c>
      <c r="D27" t="s">
        <v>265</v>
      </c>
      <c r="E27">
        <v>0.0114942528307437</v>
      </c>
      <c r="F27">
        <v>0.0775056579410752</v>
      </c>
      <c r="G27">
        <v>0.0041337484</v>
      </c>
      <c r="H27">
        <v>10.99784360533751</v>
      </c>
      <c r="I27">
        <v>0.3297274215358337</v>
      </c>
    </row>
    <row r="28" spans="1:9">
      <c r="A28" t="s">
        <v>65</v>
      </c>
      <c r="B28" t="s">
        <v>168</v>
      </c>
      <c r="C28">
        <v>2023</v>
      </c>
      <c r="D28" t="s">
        <v>265</v>
      </c>
      <c r="E28">
        <v>0.0114942528307437</v>
      </c>
      <c r="F28">
        <v>0.0077714354886347</v>
      </c>
      <c r="G28">
        <v>0.003973883</v>
      </c>
      <c r="H28">
        <v>18.87174400314786</v>
      </c>
      <c r="I28">
        <v>0.2470032691609153</v>
      </c>
    </row>
    <row r="29" spans="1:9">
      <c r="A29" t="s">
        <v>65</v>
      </c>
      <c r="B29" t="s">
        <v>168</v>
      </c>
      <c r="C29">
        <v>2024</v>
      </c>
      <c r="D29" t="s">
        <v>265</v>
      </c>
      <c r="E29">
        <v>0.0114942528307437</v>
      </c>
      <c r="F29">
        <v>0.0523058912444552</v>
      </c>
      <c r="G29">
        <v>0.0039888555</v>
      </c>
      <c r="H29">
        <v>13.58397913156579</v>
      </c>
      <c r="I29">
        <v>0.4293512938674228</v>
      </c>
    </row>
    <row r="30" spans="1:9">
      <c r="A30" t="s">
        <v>66</v>
      </c>
      <c r="B30" t="s">
        <v>169</v>
      </c>
      <c r="C30">
        <v>2021</v>
      </c>
      <c r="D30" t="s">
        <v>266</v>
      </c>
      <c r="E30">
        <v>0.2337164816757043</v>
      </c>
      <c r="F30">
        <v>0.1990124674504761</v>
      </c>
      <c r="G30">
        <v>0.23609403</v>
      </c>
      <c r="H30">
        <v>1.388631417597174</v>
      </c>
      <c r="I30">
        <v>-6.008046940486173</v>
      </c>
    </row>
    <row r="31" spans="1:9">
      <c r="A31" t="s">
        <v>66</v>
      </c>
      <c r="B31" t="s">
        <v>169</v>
      </c>
      <c r="C31">
        <v>2022</v>
      </c>
      <c r="D31" t="s">
        <v>266</v>
      </c>
      <c r="E31">
        <v>0.5555555621782938</v>
      </c>
      <c r="F31">
        <v>0.9462832700824102</v>
      </c>
      <c r="G31">
        <v>0.9868952</v>
      </c>
      <c r="H31">
        <v>0.141514078645421</v>
      </c>
      <c r="I31">
        <v>-3.817717660506765</v>
      </c>
    </row>
    <row r="32" spans="1:9">
      <c r="A32" t="s">
        <v>66</v>
      </c>
      <c r="B32" t="s">
        <v>169</v>
      </c>
      <c r="C32">
        <v>2023</v>
      </c>
      <c r="D32" t="s">
        <v>266</v>
      </c>
      <c r="E32">
        <v>0.3333333432674408</v>
      </c>
      <c r="F32">
        <v>0.8363204078991477</v>
      </c>
      <c r="G32">
        <v>0.12578589</v>
      </c>
      <c r="H32">
        <v>0.3827748220097375</v>
      </c>
      <c r="I32">
        <v>-4.947399751068783</v>
      </c>
    </row>
    <row r="33" spans="1:9">
      <c r="A33" t="s">
        <v>67</v>
      </c>
      <c r="B33" t="s">
        <v>67</v>
      </c>
      <c r="C33">
        <v>2021</v>
      </c>
      <c r="D33" t="s">
        <v>262</v>
      </c>
      <c r="E33">
        <v>0.0114942528307437</v>
      </c>
      <c r="F33">
        <v>0.0002682840975065</v>
      </c>
      <c r="G33">
        <v>0.003973883</v>
      </c>
      <c r="H33">
        <v>24.83070934010723</v>
      </c>
      <c r="I33">
        <v>0.08816860077364271</v>
      </c>
    </row>
    <row r="34" spans="1:9">
      <c r="A34" t="s">
        <v>67</v>
      </c>
      <c r="B34" t="s">
        <v>67</v>
      </c>
      <c r="C34">
        <v>2022</v>
      </c>
      <c r="D34" t="s">
        <v>262</v>
      </c>
      <c r="E34">
        <v>0.0205476662764946</v>
      </c>
      <c r="F34">
        <v>0.4828201894971004</v>
      </c>
      <c r="G34">
        <v>0.0046866825</v>
      </c>
      <c r="H34">
        <v>6.366220478148847</v>
      </c>
      <c r="I34">
        <v>0.0522922374429223</v>
      </c>
    </row>
    <row r="35" spans="1:9">
      <c r="A35" t="s">
        <v>67</v>
      </c>
      <c r="B35" t="s">
        <v>67</v>
      </c>
      <c r="C35">
        <v>2023</v>
      </c>
      <c r="D35" t="s">
        <v>262</v>
      </c>
      <c r="E35">
        <v>0.0114942528307437</v>
      </c>
      <c r="F35">
        <v>0.0014600589252637</v>
      </c>
      <c r="G35">
        <v>0.003973883</v>
      </c>
      <c r="H35">
        <v>13.61546044648085</v>
      </c>
      <c r="I35">
        <v>0.0537286194804265</v>
      </c>
    </row>
    <row r="36" spans="1:9">
      <c r="A36" t="s">
        <v>67</v>
      </c>
      <c r="B36" t="s">
        <v>67</v>
      </c>
      <c r="C36">
        <v>2024</v>
      </c>
      <c r="D36" t="s">
        <v>262</v>
      </c>
      <c r="E36">
        <v>0.0114942528307437</v>
      </c>
      <c r="F36">
        <v>0.005951467871623</v>
      </c>
      <c r="G36">
        <v>0.0041337484</v>
      </c>
      <c r="H36">
        <v>12.05627150739326</v>
      </c>
      <c r="I36">
        <v>0.0384241245136186</v>
      </c>
    </row>
    <row r="37" spans="1:9">
      <c r="A37" t="s">
        <v>68</v>
      </c>
      <c r="B37" t="s">
        <v>170</v>
      </c>
      <c r="C37">
        <v>2021</v>
      </c>
      <c r="D37" t="s">
        <v>262</v>
      </c>
      <c r="E37">
        <v>0</v>
      </c>
      <c r="F37">
        <v>0.0774970794975097</v>
      </c>
      <c r="G37">
        <v>0.0027753897</v>
      </c>
      <c r="H37">
        <v>2.209089291154246</v>
      </c>
      <c r="I37">
        <v>4.971492537313432</v>
      </c>
    </row>
    <row r="38" spans="1:9">
      <c r="A38" t="s">
        <v>68</v>
      </c>
      <c r="B38" t="s">
        <v>170</v>
      </c>
      <c r="C38">
        <v>2022</v>
      </c>
      <c r="D38" t="s">
        <v>262</v>
      </c>
      <c r="E38">
        <v>0</v>
      </c>
      <c r="F38">
        <v>0.0763406711045016</v>
      </c>
      <c r="G38">
        <v>0.003378866</v>
      </c>
      <c r="H38">
        <v>2.159195473972087</v>
      </c>
      <c r="I38">
        <v>10.63780387872166</v>
      </c>
    </row>
    <row r="39" spans="1:9">
      <c r="A39" t="s">
        <v>68</v>
      </c>
      <c r="B39" t="s">
        <v>170</v>
      </c>
      <c r="C39">
        <v>2023</v>
      </c>
      <c r="D39" t="s">
        <v>262</v>
      </c>
      <c r="E39">
        <v>0</v>
      </c>
      <c r="F39">
        <v>0.09210910051525779</v>
      </c>
      <c r="G39">
        <v>0.0033088855</v>
      </c>
      <c r="H39">
        <v>1.688224739419933</v>
      </c>
      <c r="I39">
        <v>10.36793966623876</v>
      </c>
    </row>
    <row r="40" spans="1:9">
      <c r="A40" t="s">
        <v>68</v>
      </c>
      <c r="B40" t="s">
        <v>170</v>
      </c>
      <c r="C40">
        <v>2024</v>
      </c>
      <c r="D40" t="s">
        <v>262</v>
      </c>
      <c r="E40">
        <v>0</v>
      </c>
      <c r="F40">
        <v>0.0647793286220274</v>
      </c>
      <c r="G40">
        <v>0.0034101964</v>
      </c>
      <c r="H40">
        <v>1.660973166496983</v>
      </c>
      <c r="I40">
        <v>10.22613578356304</v>
      </c>
    </row>
    <row r="41" spans="1:9">
      <c r="A41" t="s">
        <v>69</v>
      </c>
      <c r="B41" t="s">
        <v>171</v>
      </c>
      <c r="C41">
        <v>2021</v>
      </c>
      <c r="D41" t="s">
        <v>264</v>
      </c>
      <c r="E41">
        <v>0.0114942528307437</v>
      </c>
      <c r="F41">
        <v>0.0065392045033247</v>
      </c>
      <c r="G41">
        <v>0.0035630846</v>
      </c>
      <c r="H41">
        <v>5.638908366744914</v>
      </c>
      <c r="I41">
        <v>0.8419472675322797</v>
      </c>
    </row>
    <row r="42" spans="1:9">
      <c r="A42" t="s">
        <v>69</v>
      </c>
      <c r="B42" t="s">
        <v>171</v>
      </c>
      <c r="C42">
        <v>2022</v>
      </c>
      <c r="D42" t="s">
        <v>264</v>
      </c>
      <c r="E42">
        <v>0.0114942528307437</v>
      </c>
      <c r="F42">
        <v>0.0792101216267195</v>
      </c>
      <c r="G42">
        <v>0.0035448943</v>
      </c>
      <c r="H42">
        <v>3.176466567258424</v>
      </c>
      <c r="I42">
        <v>0.9594297569893798</v>
      </c>
    </row>
    <row r="43" spans="1:9">
      <c r="A43" t="s">
        <v>69</v>
      </c>
      <c r="B43" t="s">
        <v>171</v>
      </c>
      <c r="C43">
        <v>2023</v>
      </c>
      <c r="D43" t="s">
        <v>264</v>
      </c>
      <c r="E43">
        <v>0</v>
      </c>
      <c r="F43">
        <v>0.001123528155381</v>
      </c>
      <c r="G43">
        <v>0.0035630846</v>
      </c>
      <c r="H43">
        <v>4.850290511146033</v>
      </c>
      <c r="I43">
        <v>0.6717572755417957</v>
      </c>
    </row>
    <row r="44" spans="1:9">
      <c r="A44" t="s">
        <v>69</v>
      </c>
      <c r="B44" t="s">
        <v>171</v>
      </c>
      <c r="C44">
        <v>2024</v>
      </c>
      <c r="D44" t="s">
        <v>264</v>
      </c>
      <c r="E44">
        <v>0.0114942528307437</v>
      </c>
      <c r="F44">
        <v>0.0025246547567074</v>
      </c>
      <c r="G44">
        <v>0.0038345759</v>
      </c>
      <c r="H44">
        <v>6.296885137875577</v>
      </c>
      <c r="I44">
        <v>0.4577403224114417</v>
      </c>
    </row>
    <row r="45" spans="1:9">
      <c r="A45" t="s">
        <v>70</v>
      </c>
      <c r="B45" t="s">
        <v>172</v>
      </c>
      <c r="C45">
        <v>2022</v>
      </c>
      <c r="D45" t="s">
        <v>267</v>
      </c>
      <c r="E45">
        <v>0.0114942528307437</v>
      </c>
      <c r="F45">
        <v>0.0007321172077019</v>
      </c>
      <c r="G45">
        <v>0.003973883</v>
      </c>
      <c r="H45">
        <v>22.02599819878838</v>
      </c>
      <c r="I45">
        <v>0.1148921627969613</v>
      </c>
    </row>
    <row r="46" spans="1:9">
      <c r="A46" t="s">
        <v>70</v>
      </c>
      <c r="B46" t="s">
        <v>172</v>
      </c>
      <c r="C46">
        <v>2023</v>
      </c>
      <c r="D46" t="s">
        <v>267</v>
      </c>
      <c r="E46">
        <v>0.0114942528307437</v>
      </c>
      <c r="F46">
        <v>0.0060002969212049</v>
      </c>
      <c r="G46">
        <v>0.0041337484</v>
      </c>
      <c r="H46">
        <v>19.30798479086678</v>
      </c>
      <c r="I46">
        <v>0.1208474365363679</v>
      </c>
    </row>
    <row r="47" spans="1:9">
      <c r="A47" t="s">
        <v>70</v>
      </c>
      <c r="B47" t="s">
        <v>172</v>
      </c>
      <c r="C47">
        <v>2024</v>
      </c>
      <c r="D47" t="s">
        <v>267</v>
      </c>
      <c r="E47">
        <v>0.0114942528307437</v>
      </c>
      <c r="F47">
        <v>0.006053253741192</v>
      </c>
      <c r="G47">
        <v>0.003973883</v>
      </c>
      <c r="H47">
        <v>18.02879220899605</v>
      </c>
      <c r="I47">
        <v>0.1321198400281926</v>
      </c>
    </row>
    <row r="48" spans="1:9">
      <c r="A48" t="s">
        <v>70</v>
      </c>
      <c r="B48" t="s">
        <v>172</v>
      </c>
      <c r="C48">
        <v>2025</v>
      </c>
      <c r="D48" t="s">
        <v>267</v>
      </c>
      <c r="E48">
        <v>0.0114942528307437</v>
      </c>
      <c r="F48">
        <v>0.0182214816754367</v>
      </c>
      <c r="G48">
        <v>0.0041337484</v>
      </c>
      <c r="H48">
        <v>15.09303007319961</v>
      </c>
      <c r="I48">
        <v>0.1180573417987083</v>
      </c>
    </row>
    <row r="49" spans="1:9">
      <c r="A49" t="s">
        <v>71</v>
      </c>
      <c r="B49" t="s">
        <v>173</v>
      </c>
      <c r="C49">
        <v>2022</v>
      </c>
      <c r="D49" t="s">
        <v>261</v>
      </c>
      <c r="E49">
        <v>0.0114942528307437</v>
      </c>
      <c r="F49">
        <v>0.0050706345463515</v>
      </c>
      <c r="G49">
        <v>0.0028209651</v>
      </c>
      <c r="H49">
        <v>0.2910904914646584</v>
      </c>
      <c r="I49">
        <v>1.536234957592829</v>
      </c>
    </row>
    <row r="50" spans="1:9">
      <c r="A50" t="s">
        <v>71</v>
      </c>
      <c r="B50" t="s">
        <v>173</v>
      </c>
      <c r="C50">
        <v>2023</v>
      </c>
      <c r="D50" t="s">
        <v>261</v>
      </c>
      <c r="E50">
        <v>0.0114942528307437</v>
      </c>
      <c r="F50">
        <v>0.0026811638637281</v>
      </c>
      <c r="G50">
        <v>0.0028209651</v>
      </c>
      <c r="H50">
        <v>0.2924462212439689</v>
      </c>
      <c r="I50">
        <v>1.529064226384442</v>
      </c>
    </row>
    <row r="51" spans="1:9">
      <c r="A51" t="s">
        <v>71</v>
      </c>
      <c r="B51" t="s">
        <v>173</v>
      </c>
      <c r="C51">
        <v>2024</v>
      </c>
      <c r="D51" t="s">
        <v>261</v>
      </c>
      <c r="E51">
        <v>0.0114942528307437</v>
      </c>
      <c r="F51">
        <v>0.0020702816071667</v>
      </c>
      <c r="G51">
        <v>0.002680547</v>
      </c>
      <c r="H51">
        <v>0.316857994585899</v>
      </c>
      <c r="I51">
        <v>1.453282603778083</v>
      </c>
    </row>
    <row r="52" spans="1:9">
      <c r="A52" t="s">
        <v>71</v>
      </c>
      <c r="B52" t="s">
        <v>173</v>
      </c>
      <c r="C52">
        <v>2025</v>
      </c>
      <c r="D52" t="s">
        <v>261</v>
      </c>
      <c r="E52">
        <v>0.0114942528307437</v>
      </c>
      <c r="F52">
        <v>0.0030893295864701</v>
      </c>
      <c r="G52">
        <v>0.0028209651</v>
      </c>
      <c r="H52">
        <v>0.3220664353622593</v>
      </c>
      <c r="I52">
        <v>1.178658757482355</v>
      </c>
    </row>
    <row r="53" spans="1:9">
      <c r="A53" t="s">
        <v>72</v>
      </c>
      <c r="B53" t="s">
        <v>174</v>
      </c>
      <c r="C53">
        <v>2021</v>
      </c>
      <c r="D53" t="s">
        <v>263</v>
      </c>
      <c r="E53">
        <v>0</v>
      </c>
      <c r="F53">
        <v>0.008266633015818099</v>
      </c>
      <c r="G53">
        <v>0.0025438464</v>
      </c>
      <c r="H53">
        <v>1.588192188672856</v>
      </c>
      <c r="I53">
        <v>0.7815014770296425</v>
      </c>
    </row>
    <row r="54" spans="1:9">
      <c r="A54" t="s">
        <v>72</v>
      </c>
      <c r="B54" t="s">
        <v>174</v>
      </c>
      <c r="C54">
        <v>2022</v>
      </c>
      <c r="D54" t="s">
        <v>263</v>
      </c>
      <c r="E54">
        <v>0</v>
      </c>
      <c r="F54">
        <v>0.003825942542411</v>
      </c>
      <c r="G54">
        <v>0.0026488714</v>
      </c>
      <c r="H54">
        <v>2.047066221917549</v>
      </c>
      <c r="I54">
        <v>0.7868617868617869</v>
      </c>
    </row>
    <row r="55" spans="1:9">
      <c r="A55" t="s">
        <v>72</v>
      </c>
      <c r="B55" t="s">
        <v>174</v>
      </c>
      <c r="C55">
        <v>2023</v>
      </c>
      <c r="D55" t="s">
        <v>263</v>
      </c>
      <c r="E55">
        <v>0</v>
      </c>
      <c r="F55">
        <v>0.0053647133679368</v>
      </c>
      <c r="G55">
        <v>0.0026488714</v>
      </c>
      <c r="H55">
        <v>2.16362367845629</v>
      </c>
      <c r="I55">
        <v>0.7257236287458805</v>
      </c>
    </row>
    <row r="56" spans="1:9">
      <c r="A56" t="s">
        <v>72</v>
      </c>
      <c r="B56" t="s">
        <v>174</v>
      </c>
      <c r="C56">
        <v>2024</v>
      </c>
      <c r="D56" t="s">
        <v>263</v>
      </c>
      <c r="E56">
        <v>0</v>
      </c>
      <c r="F56">
        <v>0.008674613646963701</v>
      </c>
      <c r="G56">
        <v>0.0026488714</v>
      </c>
      <c r="H56">
        <v>2.264828513512738</v>
      </c>
      <c r="I56">
        <v>0.7383415877997352</v>
      </c>
    </row>
    <row r="57" spans="1:9">
      <c r="A57" t="s">
        <v>73</v>
      </c>
      <c r="B57" t="s">
        <v>175</v>
      </c>
      <c r="C57">
        <v>2021</v>
      </c>
      <c r="D57" t="s">
        <v>268</v>
      </c>
      <c r="E57">
        <v>0.0114942528307437</v>
      </c>
      <c r="F57">
        <v>0.0776771395218781</v>
      </c>
      <c r="G57">
        <v>0.0056581562</v>
      </c>
      <c r="H57">
        <v>1.067010045664352</v>
      </c>
      <c r="I57">
        <v>-3.891592772851524</v>
      </c>
    </row>
    <row r="58" spans="1:9">
      <c r="A58" t="s">
        <v>73</v>
      </c>
      <c r="B58" t="s">
        <v>175</v>
      </c>
      <c r="C58">
        <v>2022</v>
      </c>
      <c r="D58" t="s">
        <v>268</v>
      </c>
      <c r="E58">
        <v>0.0114942528307437</v>
      </c>
      <c r="F58">
        <v>0.0277021083820002</v>
      </c>
      <c r="G58">
        <v>0.0056581562</v>
      </c>
      <c r="H58">
        <v>1.04401518452618</v>
      </c>
      <c r="I58">
        <v>-3.606182711074734</v>
      </c>
    </row>
    <row r="59" spans="1:9">
      <c r="A59" t="s">
        <v>73</v>
      </c>
      <c r="B59" t="s">
        <v>175</v>
      </c>
      <c r="C59">
        <v>2023</v>
      </c>
      <c r="D59" t="s">
        <v>268</v>
      </c>
      <c r="E59">
        <v>0.0114942528307437</v>
      </c>
      <c r="F59">
        <v>0.0059540338750217</v>
      </c>
      <c r="G59">
        <v>0.0038454344</v>
      </c>
      <c r="H59">
        <v>1.454202504586276</v>
      </c>
      <c r="I59">
        <v>-3.05245749434225</v>
      </c>
    </row>
    <row r="60" spans="1:9">
      <c r="A60" t="s">
        <v>73</v>
      </c>
      <c r="B60" t="s">
        <v>175</v>
      </c>
      <c r="C60">
        <v>2024</v>
      </c>
      <c r="D60" t="s">
        <v>268</v>
      </c>
      <c r="E60">
        <v>0.4114942538241545</v>
      </c>
      <c r="F60">
        <v>0.0154019479696045</v>
      </c>
      <c r="G60">
        <v>0.081515275</v>
      </c>
      <c r="H60">
        <v>0.8642528899274238</v>
      </c>
      <c r="I60">
        <v>-13.86591606960082</v>
      </c>
    </row>
    <row r="61" spans="1:9">
      <c r="A61" t="s">
        <v>74</v>
      </c>
      <c r="B61" t="s">
        <v>176</v>
      </c>
      <c r="C61">
        <v>2022</v>
      </c>
      <c r="D61" t="s">
        <v>265</v>
      </c>
      <c r="E61">
        <v>0.0114942528307437</v>
      </c>
      <c r="F61">
        <v>0.0119932689392438</v>
      </c>
      <c r="G61">
        <v>0.003165913</v>
      </c>
      <c r="H61">
        <v>3.643483549480498</v>
      </c>
      <c r="I61">
        <v>0.1861896784219787</v>
      </c>
    </row>
    <row r="62" spans="1:9">
      <c r="A62" t="s">
        <v>74</v>
      </c>
      <c r="B62" t="s">
        <v>176</v>
      </c>
      <c r="C62">
        <v>2023</v>
      </c>
      <c r="D62" t="s">
        <v>265</v>
      </c>
      <c r="E62">
        <v>0.0114942528307437</v>
      </c>
      <c r="F62">
        <v>0.0103956951804551</v>
      </c>
      <c r="G62">
        <v>0.0032282544</v>
      </c>
      <c r="H62">
        <v>3.291735708506192</v>
      </c>
      <c r="I62">
        <v>0.1976129103315593</v>
      </c>
    </row>
    <row r="63" spans="1:9">
      <c r="A63" t="s">
        <v>74</v>
      </c>
      <c r="B63" t="s">
        <v>176</v>
      </c>
      <c r="C63">
        <v>2024</v>
      </c>
      <c r="D63" t="s">
        <v>265</v>
      </c>
      <c r="E63">
        <v>0.0114942528307437</v>
      </c>
      <c r="F63">
        <v>0.0057976697644907</v>
      </c>
      <c r="G63">
        <v>0.0030142</v>
      </c>
      <c r="H63">
        <v>2.674879818671941</v>
      </c>
      <c r="I63">
        <v>0.2084184790541526</v>
      </c>
    </row>
    <row r="64" spans="1:9">
      <c r="A64" t="s">
        <v>74</v>
      </c>
      <c r="B64" t="s">
        <v>176</v>
      </c>
      <c r="C64">
        <v>2025</v>
      </c>
      <c r="D64" t="s">
        <v>265</v>
      </c>
      <c r="E64">
        <v>0.0114942528307437</v>
      </c>
      <c r="F64">
        <v>0.0043055113395347</v>
      </c>
      <c r="G64">
        <v>0.002897508</v>
      </c>
      <c r="H64">
        <v>2.846358423330859</v>
      </c>
      <c r="I64">
        <v>0.2456880076208734</v>
      </c>
    </row>
    <row r="65" spans="1:9">
      <c r="A65" t="s">
        <v>75</v>
      </c>
      <c r="B65" t="s">
        <v>177</v>
      </c>
      <c r="C65">
        <v>2022</v>
      </c>
      <c r="D65" t="s">
        <v>267</v>
      </c>
      <c r="E65">
        <v>0.2350928826878468</v>
      </c>
      <c r="F65">
        <v>0.165922830440048</v>
      </c>
      <c r="G65">
        <v>0.01808769</v>
      </c>
      <c r="H65">
        <v>1.874525500298434</v>
      </c>
      <c r="I65">
        <v>3.040039402745518</v>
      </c>
    </row>
    <row r="66" spans="1:9">
      <c r="A66" t="s">
        <v>75</v>
      </c>
      <c r="B66" t="s">
        <v>177</v>
      </c>
      <c r="C66">
        <v>2023</v>
      </c>
      <c r="D66" t="s">
        <v>267</v>
      </c>
      <c r="E66">
        <v>0.2421942682315906</v>
      </c>
      <c r="F66">
        <v>0.0545584584355228</v>
      </c>
      <c r="G66">
        <v>0.018753352</v>
      </c>
      <c r="H66">
        <v>1.244761495834583</v>
      </c>
      <c r="I66">
        <v>3.024847357039416</v>
      </c>
    </row>
    <row r="67" spans="1:9">
      <c r="A67" t="s">
        <v>75</v>
      </c>
      <c r="B67" t="s">
        <v>177</v>
      </c>
      <c r="C67">
        <v>2024</v>
      </c>
      <c r="D67" t="s">
        <v>267</v>
      </c>
      <c r="E67">
        <v>0.3345473402490218</v>
      </c>
      <c r="F67">
        <v>0.0270127327871121</v>
      </c>
      <c r="G67">
        <v>0.031725142</v>
      </c>
      <c r="H67">
        <v>1.226128746512444</v>
      </c>
      <c r="I67">
        <v>2.848114129474604</v>
      </c>
    </row>
    <row r="68" spans="1:9">
      <c r="A68" t="s">
        <v>75</v>
      </c>
      <c r="B68" t="s">
        <v>177</v>
      </c>
      <c r="C68">
        <v>2025</v>
      </c>
      <c r="D68" t="s">
        <v>267</v>
      </c>
      <c r="E68">
        <v>0.2421942682315906</v>
      </c>
      <c r="F68">
        <v>0.0451373159752606</v>
      </c>
      <c r="G68">
        <v>0.018753352</v>
      </c>
      <c r="H68">
        <v>1.034962358820443</v>
      </c>
      <c r="I68">
        <v>2.84778133072273</v>
      </c>
    </row>
    <row r="69" spans="1:9">
      <c r="A69" t="s">
        <v>76</v>
      </c>
      <c r="B69" t="s">
        <v>178</v>
      </c>
      <c r="C69">
        <v>2021</v>
      </c>
      <c r="D69" t="s">
        <v>269</v>
      </c>
      <c r="E69">
        <v>0.0146805616095662</v>
      </c>
      <c r="F69">
        <v>0.0008320913722838</v>
      </c>
      <c r="G69">
        <v>0.004418632</v>
      </c>
      <c r="H69">
        <v>9.08634691013194</v>
      </c>
      <c r="I69">
        <v>0.0689776540665729</v>
      </c>
    </row>
    <row r="70" spans="1:9">
      <c r="A70" t="s">
        <v>76</v>
      </c>
      <c r="B70" t="s">
        <v>178</v>
      </c>
      <c r="C70">
        <v>2022</v>
      </c>
      <c r="D70" t="s">
        <v>269</v>
      </c>
      <c r="E70">
        <v>0.511111115415891</v>
      </c>
      <c r="F70">
        <v>0.9181120941451884</v>
      </c>
      <c r="G70">
        <v>0.9732067599999999</v>
      </c>
      <c r="H70">
        <v>5.509015613616109</v>
      </c>
      <c r="I70">
        <v>0.0124429799977083</v>
      </c>
    </row>
    <row r="71" spans="1:9">
      <c r="A71" t="s">
        <v>76</v>
      </c>
      <c r="B71" t="s">
        <v>178</v>
      </c>
      <c r="C71">
        <v>2023</v>
      </c>
      <c r="D71" t="s">
        <v>269</v>
      </c>
      <c r="E71">
        <v>0.3517408451686303</v>
      </c>
      <c r="F71">
        <v>0.0277056984710329</v>
      </c>
      <c r="G71">
        <v>0.94415003</v>
      </c>
      <c r="H71">
        <v>4.86962910213974</v>
      </c>
      <c r="I71">
        <v>0.0104529810765957</v>
      </c>
    </row>
    <row r="72" spans="1:9">
      <c r="A72" t="s">
        <v>77</v>
      </c>
      <c r="B72" t="s">
        <v>179</v>
      </c>
      <c r="C72">
        <v>2022</v>
      </c>
      <c r="D72" t="s">
        <v>261</v>
      </c>
      <c r="E72">
        <v>0</v>
      </c>
      <c r="F72">
        <v>0.0392691809199552</v>
      </c>
      <c r="G72">
        <v>0.0027753897</v>
      </c>
      <c r="H72">
        <v>1.732350927108234</v>
      </c>
      <c r="I72">
        <v>2.549465624309774</v>
      </c>
    </row>
    <row r="73" spans="1:9">
      <c r="A73" t="s">
        <v>77</v>
      </c>
      <c r="B73" t="s">
        <v>179</v>
      </c>
      <c r="C73">
        <v>2023</v>
      </c>
      <c r="D73" t="s">
        <v>261</v>
      </c>
      <c r="E73">
        <v>0</v>
      </c>
      <c r="F73">
        <v>0.0184908209988299</v>
      </c>
      <c r="G73">
        <v>0.0027178738</v>
      </c>
      <c r="H73">
        <v>1.521811563575699</v>
      </c>
      <c r="I73">
        <v>2.914025906715711</v>
      </c>
    </row>
    <row r="74" spans="1:9">
      <c r="A74" t="s">
        <v>77</v>
      </c>
      <c r="B74" t="s">
        <v>179</v>
      </c>
      <c r="C74">
        <v>2024</v>
      </c>
      <c r="D74" t="s">
        <v>261</v>
      </c>
      <c r="E74">
        <v>0</v>
      </c>
      <c r="F74">
        <v>0.0063268974689438</v>
      </c>
      <c r="G74">
        <v>0.0027753897</v>
      </c>
      <c r="H74">
        <v>2.068381051176918</v>
      </c>
      <c r="I74">
        <v>2.628571742088399</v>
      </c>
    </row>
    <row r="75" spans="1:9">
      <c r="A75" t="s">
        <v>77</v>
      </c>
      <c r="B75" t="s">
        <v>179</v>
      </c>
      <c r="C75">
        <v>2025</v>
      </c>
      <c r="D75" t="s">
        <v>261</v>
      </c>
      <c r="E75">
        <v>0</v>
      </c>
      <c r="F75">
        <v>0.0055665077191944</v>
      </c>
      <c r="G75">
        <v>0.0027753897</v>
      </c>
      <c r="H75">
        <v>2.55541719687704</v>
      </c>
      <c r="I75">
        <v>1.879462734413694</v>
      </c>
    </row>
    <row r="76" spans="1:9">
      <c r="A76" t="s">
        <v>78</v>
      </c>
      <c r="B76" t="s">
        <v>180</v>
      </c>
      <c r="C76">
        <v>2021</v>
      </c>
      <c r="D76" t="s">
        <v>263</v>
      </c>
      <c r="E76">
        <v>0.0114942528307437</v>
      </c>
      <c r="F76">
        <v>0.0293542775345522</v>
      </c>
      <c r="G76">
        <v>0.0031150042</v>
      </c>
      <c r="H76">
        <v>2.719037115797329</v>
      </c>
      <c r="I76">
        <v>0.4327410987472749</v>
      </c>
    </row>
    <row r="77" spans="1:9">
      <c r="A77" t="s">
        <v>78</v>
      </c>
      <c r="B77" t="s">
        <v>180</v>
      </c>
      <c r="C77">
        <v>2022</v>
      </c>
      <c r="D77" t="s">
        <v>263</v>
      </c>
      <c r="E77">
        <v>0.0114942528307437</v>
      </c>
      <c r="F77">
        <v>0.031229250104997</v>
      </c>
      <c r="G77">
        <v>0.0031150042</v>
      </c>
      <c r="H77">
        <v>2.387344507701997</v>
      </c>
      <c r="I77">
        <v>0.4087829674509348</v>
      </c>
    </row>
    <row r="78" spans="1:9">
      <c r="A78" t="s">
        <v>78</v>
      </c>
      <c r="B78" t="s">
        <v>180</v>
      </c>
      <c r="C78">
        <v>2023</v>
      </c>
      <c r="D78" t="s">
        <v>263</v>
      </c>
      <c r="E78">
        <v>0.0114942528307437</v>
      </c>
      <c r="F78">
        <v>0.0074041753290975</v>
      </c>
      <c r="G78">
        <v>0.002897508</v>
      </c>
      <c r="H78">
        <v>2.691331649239197</v>
      </c>
      <c r="I78">
        <v>0.3472330539433393</v>
      </c>
    </row>
    <row r="79" spans="1:9">
      <c r="A79" t="s">
        <v>78</v>
      </c>
      <c r="B79" t="s">
        <v>180</v>
      </c>
      <c r="C79">
        <v>2024</v>
      </c>
      <c r="D79" t="s">
        <v>263</v>
      </c>
      <c r="E79">
        <v>0.0114942528307437</v>
      </c>
      <c r="F79">
        <v>0.0125095847047908</v>
      </c>
      <c r="G79">
        <v>0.0032375508</v>
      </c>
      <c r="H79">
        <v>2.274388278693259</v>
      </c>
      <c r="I79">
        <v>0.3009028146574615</v>
      </c>
    </row>
    <row r="80" spans="1:9">
      <c r="A80" t="s">
        <v>79</v>
      </c>
      <c r="B80" t="s">
        <v>181</v>
      </c>
      <c r="C80">
        <v>2021</v>
      </c>
      <c r="D80" t="s">
        <v>265</v>
      </c>
      <c r="E80">
        <v>0</v>
      </c>
      <c r="F80">
        <v>0.0234717140545116</v>
      </c>
      <c r="G80">
        <v>0.0027753897</v>
      </c>
      <c r="H80">
        <v>2.363846704509007</v>
      </c>
      <c r="I80">
        <v>1.268458242919935</v>
      </c>
    </row>
    <row r="81" spans="1:9">
      <c r="A81" t="s">
        <v>79</v>
      </c>
      <c r="B81" t="s">
        <v>181</v>
      </c>
      <c r="C81">
        <v>2022</v>
      </c>
      <c r="D81" t="s">
        <v>265</v>
      </c>
      <c r="E81">
        <v>0</v>
      </c>
      <c r="F81">
        <v>0.0154966316870746</v>
      </c>
      <c r="G81">
        <v>0.0027753897</v>
      </c>
      <c r="H81">
        <v>2.835011032086857</v>
      </c>
      <c r="I81">
        <v>1.310872154792183</v>
      </c>
    </row>
    <row r="82" spans="1:9">
      <c r="A82" t="s">
        <v>79</v>
      </c>
      <c r="B82" t="s">
        <v>181</v>
      </c>
      <c r="C82">
        <v>2023</v>
      </c>
      <c r="D82" t="s">
        <v>265</v>
      </c>
      <c r="E82">
        <v>0</v>
      </c>
      <c r="F82">
        <v>0.0274874146946323</v>
      </c>
      <c r="G82">
        <v>0.0028871777</v>
      </c>
      <c r="H82">
        <v>2.419711533491397</v>
      </c>
      <c r="I82">
        <v>1.408902480462114</v>
      </c>
    </row>
    <row r="83" spans="1:9">
      <c r="A83" t="s">
        <v>79</v>
      </c>
      <c r="B83" t="s">
        <v>181</v>
      </c>
      <c r="C83">
        <v>2024</v>
      </c>
      <c r="D83" t="s">
        <v>265</v>
      </c>
      <c r="E83">
        <v>0.0114942528307437</v>
      </c>
      <c r="F83">
        <v>0.1520950300681759</v>
      </c>
      <c r="G83">
        <v>0.004472501</v>
      </c>
      <c r="H83">
        <v>1.732970975217882</v>
      </c>
      <c r="I83">
        <v>3.134374043464952</v>
      </c>
    </row>
    <row r="84" spans="1:9">
      <c r="A84" t="s">
        <v>80</v>
      </c>
      <c r="B84" t="s">
        <v>80</v>
      </c>
      <c r="C84">
        <v>2021</v>
      </c>
      <c r="D84" t="s">
        <v>262</v>
      </c>
      <c r="E84">
        <v>0</v>
      </c>
      <c r="F84">
        <v>0.0064173690740193</v>
      </c>
      <c r="G84">
        <v>0.0026488714</v>
      </c>
      <c r="H84">
        <v>2.450740409545825</v>
      </c>
      <c r="I84">
        <v>0.9247843313941932</v>
      </c>
    </row>
    <row r="85" spans="1:9">
      <c r="A85" t="s">
        <v>80</v>
      </c>
      <c r="B85" t="s">
        <v>80</v>
      </c>
      <c r="C85">
        <v>2022</v>
      </c>
      <c r="D85" t="s">
        <v>262</v>
      </c>
      <c r="E85">
        <v>0</v>
      </c>
      <c r="F85">
        <v>0.003506027324254</v>
      </c>
      <c r="G85">
        <v>0.0025976868</v>
      </c>
      <c r="H85">
        <v>2.992531645276084</v>
      </c>
      <c r="I85">
        <v>0.8214735096886889</v>
      </c>
    </row>
    <row r="86" spans="1:9">
      <c r="A86" t="s">
        <v>80</v>
      </c>
      <c r="B86" t="s">
        <v>80</v>
      </c>
      <c r="C86">
        <v>2023</v>
      </c>
      <c r="D86" t="s">
        <v>262</v>
      </c>
      <c r="E86">
        <v>0</v>
      </c>
      <c r="F86">
        <v>0.0022365281599229</v>
      </c>
      <c r="G86">
        <v>0.0026488714</v>
      </c>
      <c r="H86">
        <v>3.11920000341154</v>
      </c>
      <c r="I86">
        <v>0.8974431939444816</v>
      </c>
    </row>
    <row r="87" spans="1:9">
      <c r="A87" t="s">
        <v>80</v>
      </c>
      <c r="B87" t="s">
        <v>80</v>
      </c>
      <c r="C87">
        <v>2024</v>
      </c>
      <c r="D87" t="s">
        <v>262</v>
      </c>
      <c r="E87">
        <v>0</v>
      </c>
      <c r="F87">
        <v>0.0109476382922322</v>
      </c>
      <c r="G87">
        <v>0.0027023365</v>
      </c>
      <c r="H87">
        <v>2.400552661922362</v>
      </c>
      <c r="I87">
        <v>1.207625831279749</v>
      </c>
    </row>
    <row r="88" spans="1:9">
      <c r="A88" t="s">
        <v>81</v>
      </c>
      <c r="B88" t="s">
        <v>182</v>
      </c>
      <c r="C88">
        <v>2021</v>
      </c>
      <c r="D88" t="s">
        <v>270</v>
      </c>
      <c r="E88">
        <v>0</v>
      </c>
      <c r="F88">
        <v>0.037529392696796</v>
      </c>
      <c r="G88">
        <v>0.002843457</v>
      </c>
      <c r="H88">
        <v>1.323608800253638</v>
      </c>
      <c r="I88">
        <v>1.29359681952555</v>
      </c>
    </row>
    <row r="89" spans="1:9">
      <c r="A89" t="s">
        <v>81</v>
      </c>
      <c r="B89" t="s">
        <v>182</v>
      </c>
      <c r="C89">
        <v>2022</v>
      </c>
      <c r="D89" t="s">
        <v>270</v>
      </c>
      <c r="E89">
        <v>0</v>
      </c>
      <c r="F89">
        <v>0.0106168650427515</v>
      </c>
      <c r="G89">
        <v>0.0027333575</v>
      </c>
      <c r="H89">
        <v>1.440979547709175</v>
      </c>
      <c r="I89">
        <v>1.089825335840214</v>
      </c>
    </row>
    <row r="90" spans="1:9">
      <c r="A90" t="s">
        <v>81</v>
      </c>
      <c r="B90" t="s">
        <v>182</v>
      </c>
      <c r="C90">
        <v>2023</v>
      </c>
      <c r="D90" t="s">
        <v>270</v>
      </c>
      <c r="E90">
        <v>0</v>
      </c>
      <c r="F90">
        <v>0.0072050203659229</v>
      </c>
      <c r="G90">
        <v>0.0028564064</v>
      </c>
      <c r="H90">
        <v>1.522671194395803</v>
      </c>
      <c r="I90">
        <v>0.9550386081516958</v>
      </c>
    </row>
    <row r="91" spans="1:9">
      <c r="A91" t="s">
        <v>81</v>
      </c>
      <c r="B91" t="s">
        <v>182</v>
      </c>
      <c r="C91">
        <v>2024</v>
      </c>
      <c r="D91" t="s">
        <v>270</v>
      </c>
      <c r="E91">
        <v>0</v>
      </c>
      <c r="F91">
        <v>0.009587837734138399</v>
      </c>
      <c r="G91">
        <v>0.002915032</v>
      </c>
      <c r="H91">
        <v>1.481836684667239</v>
      </c>
      <c r="I91">
        <v>0.9224535705612434</v>
      </c>
    </row>
    <row r="92" spans="1:9">
      <c r="A92" t="s">
        <v>82</v>
      </c>
      <c r="B92" t="s">
        <v>183</v>
      </c>
      <c r="C92">
        <v>2021</v>
      </c>
      <c r="D92" t="s">
        <v>271</v>
      </c>
      <c r="E92">
        <v>0.1892720349133014</v>
      </c>
      <c r="F92">
        <v>0.0013971393939654</v>
      </c>
      <c r="G92">
        <v>0.0144224875</v>
      </c>
      <c r="H92">
        <v>0.153753314901851</v>
      </c>
      <c r="I92">
        <v>2.849720026350461</v>
      </c>
    </row>
    <row r="93" spans="1:9">
      <c r="A93" t="s">
        <v>82</v>
      </c>
      <c r="B93" t="s">
        <v>183</v>
      </c>
      <c r="C93">
        <v>2022</v>
      </c>
      <c r="D93" t="s">
        <v>271</v>
      </c>
      <c r="E93">
        <v>0.0114942528307437</v>
      </c>
      <c r="F93">
        <v>0.0261684452238441</v>
      </c>
      <c r="G93">
        <v>0.008732640999999999</v>
      </c>
      <c r="H93">
        <v>0.2959791878674837</v>
      </c>
      <c r="I93">
        <v>5.079416761041902</v>
      </c>
    </row>
    <row r="94" spans="1:9">
      <c r="A94" t="s">
        <v>82</v>
      </c>
      <c r="B94" t="s">
        <v>183</v>
      </c>
      <c r="C94">
        <v>2023</v>
      </c>
      <c r="D94" t="s">
        <v>271</v>
      </c>
      <c r="E94">
        <v>0</v>
      </c>
      <c r="F94">
        <v>0.0041481614119293</v>
      </c>
      <c r="G94">
        <v>0.0033277248</v>
      </c>
      <c r="H94">
        <v>1.037637831864483</v>
      </c>
      <c r="I94">
        <v>4.633299433386604</v>
      </c>
    </row>
    <row r="95" spans="1:9">
      <c r="A95" t="s">
        <v>82</v>
      </c>
      <c r="B95" t="s">
        <v>183</v>
      </c>
      <c r="C95">
        <v>2024</v>
      </c>
      <c r="D95" t="s">
        <v>271</v>
      </c>
      <c r="E95">
        <v>0</v>
      </c>
      <c r="F95">
        <v>0.011737453643464</v>
      </c>
      <c r="G95">
        <v>0.0025939706</v>
      </c>
      <c r="H95">
        <v>1.534444017201724</v>
      </c>
      <c r="I95">
        <v>3.121054907047125</v>
      </c>
    </row>
    <row r="96" spans="1:9">
      <c r="A96" t="s">
        <v>83</v>
      </c>
      <c r="B96" t="s">
        <v>184</v>
      </c>
      <c r="C96">
        <v>2021</v>
      </c>
      <c r="D96" t="s">
        <v>272</v>
      </c>
      <c r="E96">
        <v>0</v>
      </c>
      <c r="F96">
        <v>0.2305497326065481</v>
      </c>
      <c r="G96">
        <v>0.0030981724</v>
      </c>
      <c r="H96">
        <v>1.270325254520132</v>
      </c>
      <c r="I96">
        <v>6.535943060498219</v>
      </c>
    </row>
    <row r="97" spans="1:9">
      <c r="A97" t="s">
        <v>83</v>
      </c>
      <c r="B97" t="s">
        <v>184</v>
      </c>
      <c r="C97">
        <v>2022</v>
      </c>
      <c r="D97" t="s">
        <v>272</v>
      </c>
      <c r="E97">
        <v>0.0114942528307437</v>
      </c>
      <c r="F97">
        <v>0.1482654471678379</v>
      </c>
      <c r="G97">
        <v>0.003593285</v>
      </c>
      <c r="H97">
        <v>0.9592653503320154</v>
      </c>
      <c r="I97">
        <v>10.70325693606755</v>
      </c>
    </row>
    <row r="98" spans="1:9">
      <c r="A98" t="s">
        <v>83</v>
      </c>
      <c r="B98" t="s">
        <v>184</v>
      </c>
      <c r="C98">
        <v>2023</v>
      </c>
      <c r="D98" t="s">
        <v>272</v>
      </c>
      <c r="E98">
        <v>0</v>
      </c>
      <c r="F98">
        <v>0.0355671219688028</v>
      </c>
      <c r="G98">
        <v>0.0033277248</v>
      </c>
      <c r="H98">
        <v>0.9964845169561288</v>
      </c>
      <c r="I98">
        <v>8.858199530939922</v>
      </c>
    </row>
    <row r="99" spans="1:9">
      <c r="A99" t="s">
        <v>83</v>
      </c>
      <c r="B99" t="s">
        <v>184</v>
      </c>
      <c r="C99">
        <v>2024</v>
      </c>
      <c r="D99" t="s">
        <v>272</v>
      </c>
      <c r="E99">
        <v>0</v>
      </c>
      <c r="F99">
        <v>0.0530543657274719</v>
      </c>
      <c r="G99">
        <v>0.003593285</v>
      </c>
      <c r="H99">
        <v>1.002573459312531</v>
      </c>
      <c r="I99">
        <v>6.143773657535124</v>
      </c>
    </row>
    <row r="100" spans="1:9">
      <c r="A100" t="s">
        <v>84</v>
      </c>
      <c r="B100" t="s">
        <v>185</v>
      </c>
      <c r="C100">
        <v>2021</v>
      </c>
      <c r="D100" t="s">
        <v>262</v>
      </c>
      <c r="E100">
        <v>0</v>
      </c>
      <c r="F100">
        <v>0.0187873933012335</v>
      </c>
      <c r="G100">
        <v>0.0026488714</v>
      </c>
      <c r="H100">
        <v>1.935976451898395</v>
      </c>
      <c r="I100">
        <v>1.040877492403114</v>
      </c>
    </row>
    <row r="101" spans="1:9">
      <c r="A101" t="s">
        <v>84</v>
      </c>
      <c r="B101" t="s">
        <v>185</v>
      </c>
      <c r="C101">
        <v>2022</v>
      </c>
      <c r="D101" t="s">
        <v>262</v>
      </c>
      <c r="E101">
        <v>0</v>
      </c>
      <c r="F101">
        <v>0.0303260895570781</v>
      </c>
      <c r="G101">
        <v>0.002698471</v>
      </c>
      <c r="H101">
        <v>1.57274479815467</v>
      </c>
      <c r="I101">
        <v>1.235227258688213</v>
      </c>
    </row>
    <row r="102" spans="1:9">
      <c r="A102" t="s">
        <v>84</v>
      </c>
      <c r="B102" t="s">
        <v>185</v>
      </c>
      <c r="C102">
        <v>2023</v>
      </c>
      <c r="D102" t="s">
        <v>262</v>
      </c>
      <c r="E102">
        <v>0</v>
      </c>
      <c r="F102">
        <v>0.0054817416741188</v>
      </c>
      <c r="G102">
        <v>0.0026488714</v>
      </c>
      <c r="H102">
        <v>1.798447671759725</v>
      </c>
      <c r="I102">
        <v>1.173959832170538</v>
      </c>
    </row>
    <row r="103" spans="1:9">
      <c r="A103" t="s">
        <v>84</v>
      </c>
      <c r="B103" t="s">
        <v>185</v>
      </c>
      <c r="C103">
        <v>2024</v>
      </c>
      <c r="D103" t="s">
        <v>262</v>
      </c>
      <c r="E103">
        <v>0</v>
      </c>
      <c r="F103">
        <v>0.0176089075981941</v>
      </c>
      <c r="G103">
        <v>0.002698471</v>
      </c>
      <c r="H103">
        <v>1.69309268106657</v>
      </c>
      <c r="I103">
        <v>1.158169705469846</v>
      </c>
    </row>
    <row r="104" spans="1:9">
      <c r="A104" t="s">
        <v>85</v>
      </c>
      <c r="B104" t="s">
        <v>186</v>
      </c>
      <c r="C104">
        <v>2021</v>
      </c>
      <c r="D104" t="s">
        <v>273</v>
      </c>
      <c r="E104">
        <v>0</v>
      </c>
      <c r="F104">
        <v>0.0058811093756635</v>
      </c>
      <c r="G104">
        <v>0.0031211076</v>
      </c>
      <c r="H104">
        <v>3.448707497483028</v>
      </c>
      <c r="I104">
        <v>0.5502146845451101</v>
      </c>
    </row>
    <row r="105" spans="1:9">
      <c r="A105" t="s">
        <v>85</v>
      </c>
      <c r="B105" t="s">
        <v>186</v>
      </c>
      <c r="C105">
        <v>2022</v>
      </c>
      <c r="D105" t="s">
        <v>273</v>
      </c>
      <c r="E105">
        <v>0.4114942538241545</v>
      </c>
      <c r="F105">
        <v>0.2609383752348669</v>
      </c>
      <c r="G105">
        <v>0.24685758</v>
      </c>
      <c r="H105">
        <v>0.0572800193588514</v>
      </c>
      <c r="I105">
        <v>0.6397852291212649</v>
      </c>
    </row>
    <row r="106" spans="1:9">
      <c r="A106" t="s">
        <v>85</v>
      </c>
      <c r="B106" t="s">
        <v>186</v>
      </c>
      <c r="C106">
        <v>2023</v>
      </c>
      <c r="D106" t="s">
        <v>273</v>
      </c>
      <c r="E106">
        <v>0.0114942528307437</v>
      </c>
      <c r="F106">
        <v>0.0001874362957009</v>
      </c>
      <c r="G106">
        <v>0.0034917698</v>
      </c>
      <c r="H106">
        <v>3.70420513415636</v>
      </c>
      <c r="I106">
        <v>0.4749991602523477</v>
      </c>
    </row>
    <row r="107" spans="1:9">
      <c r="A107" t="s">
        <v>85</v>
      </c>
      <c r="B107" t="s">
        <v>186</v>
      </c>
      <c r="C107">
        <v>2024</v>
      </c>
      <c r="D107" t="s">
        <v>273</v>
      </c>
      <c r="E107">
        <v>0.0114942528307437</v>
      </c>
      <c r="F107">
        <v>0.0087547731487954</v>
      </c>
      <c r="G107">
        <v>0.0057115853</v>
      </c>
      <c r="H107">
        <v>4.451818156594317</v>
      </c>
      <c r="I107">
        <v>0.4203499479703978</v>
      </c>
    </row>
    <row r="108" spans="1:9">
      <c r="A108" t="s">
        <v>86</v>
      </c>
      <c r="B108" t="s">
        <v>187</v>
      </c>
      <c r="C108">
        <v>2022</v>
      </c>
      <c r="D108" t="s">
        <v>265</v>
      </c>
      <c r="E108">
        <v>0.0114942528307437</v>
      </c>
      <c r="F108">
        <v>0.0018167843323647</v>
      </c>
      <c r="G108">
        <v>0.0035630846</v>
      </c>
      <c r="H108">
        <v>7.398988702386123</v>
      </c>
      <c r="I108">
        <v>0.4378936149597907</v>
      </c>
    </row>
    <row r="109" spans="1:9">
      <c r="A109" t="s">
        <v>86</v>
      </c>
      <c r="B109" t="s">
        <v>187</v>
      </c>
      <c r="C109">
        <v>2023</v>
      </c>
      <c r="D109" t="s">
        <v>265</v>
      </c>
      <c r="E109">
        <v>0.0114942528307437</v>
      </c>
      <c r="F109">
        <v>0.0041998134090958</v>
      </c>
      <c r="G109">
        <v>0.0036925655</v>
      </c>
      <c r="H109">
        <v>7.526276534075533</v>
      </c>
      <c r="I109">
        <v>0.354537473062495</v>
      </c>
    </row>
    <row r="110" spans="1:9">
      <c r="A110" t="s">
        <v>86</v>
      </c>
      <c r="B110" t="s">
        <v>187</v>
      </c>
      <c r="C110">
        <v>2024</v>
      </c>
      <c r="D110" t="s">
        <v>265</v>
      </c>
      <c r="E110">
        <v>0.0114942528307437</v>
      </c>
      <c r="F110">
        <v>0.0015626268162229</v>
      </c>
      <c r="G110">
        <v>0.0036925655</v>
      </c>
      <c r="H110">
        <v>9.619148419692136</v>
      </c>
      <c r="I110">
        <v>0.3458216916433833</v>
      </c>
    </row>
    <row r="111" spans="1:9">
      <c r="A111" t="s">
        <v>86</v>
      </c>
      <c r="B111" t="s">
        <v>187</v>
      </c>
      <c r="C111">
        <v>2025</v>
      </c>
      <c r="D111" t="s">
        <v>265</v>
      </c>
      <c r="E111">
        <v>0.0114942528307437</v>
      </c>
      <c r="F111">
        <v>0.0035201640327318</v>
      </c>
      <c r="G111">
        <v>0.0036925655</v>
      </c>
      <c r="H111">
        <v>9.583274770478535</v>
      </c>
      <c r="I111">
        <v>0.2802427650528048</v>
      </c>
    </row>
    <row r="112" spans="1:9">
      <c r="A112" t="s">
        <v>87</v>
      </c>
      <c r="B112" t="s">
        <v>188</v>
      </c>
      <c r="C112">
        <v>2022</v>
      </c>
      <c r="D112" t="s">
        <v>265</v>
      </c>
      <c r="E112">
        <v>0.0114942528307437</v>
      </c>
      <c r="F112">
        <v>0.0037612605753421</v>
      </c>
      <c r="G112">
        <v>0.0040539876</v>
      </c>
      <c r="H112">
        <v>4.547904071743938</v>
      </c>
      <c r="I112">
        <v>0.2405773167500989</v>
      </c>
    </row>
    <row r="113" spans="1:9">
      <c r="A113" t="s">
        <v>87</v>
      </c>
      <c r="B113" t="s">
        <v>188</v>
      </c>
      <c r="C113">
        <v>2023</v>
      </c>
      <c r="D113" t="s">
        <v>265</v>
      </c>
      <c r="E113">
        <v>0.0114942528307437</v>
      </c>
      <c r="F113">
        <v>0.0069145201660355</v>
      </c>
      <c r="G113">
        <v>0.0030142</v>
      </c>
      <c r="H113">
        <v>3.525334260567906</v>
      </c>
      <c r="I113">
        <v>0.2414023543926386</v>
      </c>
    </row>
    <row r="114" spans="1:9">
      <c r="A114" t="s">
        <v>87</v>
      </c>
      <c r="B114" t="s">
        <v>188</v>
      </c>
      <c r="C114">
        <v>2024</v>
      </c>
      <c r="D114" t="s">
        <v>265</v>
      </c>
      <c r="E114">
        <v>0.0114942528307437</v>
      </c>
      <c r="F114">
        <v>0.0006020392197777</v>
      </c>
      <c r="G114">
        <v>0.003973883</v>
      </c>
      <c r="H114">
        <v>5.665561389378976</v>
      </c>
      <c r="I114">
        <v>0.2110451664822452</v>
      </c>
    </row>
    <row r="115" spans="1:9">
      <c r="A115" t="s">
        <v>87</v>
      </c>
      <c r="B115" t="s">
        <v>188</v>
      </c>
      <c r="C115">
        <v>2025</v>
      </c>
      <c r="D115" t="s">
        <v>265</v>
      </c>
      <c r="E115">
        <v>0.0114942528307437</v>
      </c>
      <c r="F115">
        <v>0.0022406768995935</v>
      </c>
      <c r="G115">
        <v>0.003973883</v>
      </c>
      <c r="H115">
        <v>6.396867312343126</v>
      </c>
      <c r="I115">
        <v>0.1862259493567423</v>
      </c>
    </row>
    <row r="116" spans="1:9">
      <c r="A116" t="s">
        <v>88</v>
      </c>
      <c r="B116" t="s">
        <v>189</v>
      </c>
      <c r="C116">
        <v>2022</v>
      </c>
      <c r="D116" t="s">
        <v>274</v>
      </c>
      <c r="E116">
        <v>0</v>
      </c>
      <c r="F116">
        <v>0.0017256711142652</v>
      </c>
      <c r="G116">
        <v>0.0030142</v>
      </c>
      <c r="H116">
        <v>3.449609502204779</v>
      </c>
      <c r="I116">
        <v>0.239232645261861</v>
      </c>
    </row>
    <row r="117" spans="1:9">
      <c r="A117" t="s">
        <v>88</v>
      </c>
      <c r="B117" t="s">
        <v>189</v>
      </c>
      <c r="C117">
        <v>2023</v>
      </c>
      <c r="D117" t="s">
        <v>274</v>
      </c>
      <c r="E117">
        <v>0</v>
      </c>
      <c r="F117">
        <v>0.0048072093923379</v>
      </c>
      <c r="G117">
        <v>0.002897508</v>
      </c>
      <c r="H117">
        <v>3.663971357523581</v>
      </c>
      <c r="I117">
        <v>0.1891867517417085</v>
      </c>
    </row>
    <row r="118" spans="1:9">
      <c r="A118" t="s">
        <v>88</v>
      </c>
      <c r="B118" t="s">
        <v>189</v>
      </c>
      <c r="C118">
        <v>2024</v>
      </c>
      <c r="D118" t="s">
        <v>274</v>
      </c>
      <c r="E118">
        <v>0</v>
      </c>
      <c r="F118">
        <v>0.0333686898140549</v>
      </c>
      <c r="G118">
        <v>0.0027555774</v>
      </c>
      <c r="H118">
        <v>2.640253561062039</v>
      </c>
      <c r="I118">
        <v>0.6813692060628727</v>
      </c>
    </row>
    <row r="119" spans="1:9">
      <c r="A119" t="s">
        <v>88</v>
      </c>
      <c r="B119" t="s">
        <v>189</v>
      </c>
      <c r="C119">
        <v>2025</v>
      </c>
      <c r="D119" t="s">
        <v>274</v>
      </c>
      <c r="E119">
        <v>0</v>
      </c>
      <c r="F119">
        <v>0.0060673411769851</v>
      </c>
      <c r="G119">
        <v>0.0026488714</v>
      </c>
      <c r="H119">
        <v>3.08258833918848</v>
      </c>
      <c r="I119">
        <v>0.599726746792477</v>
      </c>
    </row>
    <row r="120" spans="1:9">
      <c r="A120" t="s">
        <v>89</v>
      </c>
      <c r="B120" t="s">
        <v>190</v>
      </c>
      <c r="C120">
        <v>2021</v>
      </c>
      <c r="D120" t="s">
        <v>266</v>
      </c>
      <c r="E120">
        <v>0.4559387005865574</v>
      </c>
      <c r="F120">
        <v>0.822336079609399</v>
      </c>
      <c r="G120">
        <v>0.9758985</v>
      </c>
      <c r="H120">
        <v>3.765088043399897</v>
      </c>
      <c r="I120">
        <v>18.86928104575157</v>
      </c>
    </row>
    <row r="121" spans="1:9">
      <c r="A121" t="s">
        <v>89</v>
      </c>
      <c r="B121" t="s">
        <v>190</v>
      </c>
      <c r="C121">
        <v>2022</v>
      </c>
      <c r="D121" t="s">
        <v>266</v>
      </c>
      <c r="E121">
        <v>0.5555555621782938</v>
      </c>
      <c r="F121">
        <v>0.974242854856722</v>
      </c>
      <c r="G121">
        <v>0.9794013499999999</v>
      </c>
      <c r="H121">
        <v>0.6102900757074189</v>
      </c>
      <c r="I121">
        <v>-17.01930501930505</v>
      </c>
    </row>
    <row r="122" spans="1:9">
      <c r="A122" t="s">
        <v>90</v>
      </c>
      <c r="B122" t="s">
        <v>191</v>
      </c>
      <c r="C122">
        <v>2021</v>
      </c>
      <c r="D122" t="s">
        <v>274</v>
      </c>
      <c r="E122">
        <v>0.0114942528307437</v>
      </c>
      <c r="F122">
        <v>0.0012344340391989</v>
      </c>
      <c r="G122">
        <v>0.002897508</v>
      </c>
      <c r="H122">
        <v>3.124690059469306</v>
      </c>
      <c r="I122">
        <v>0.2255675321967109</v>
      </c>
    </row>
    <row r="123" spans="1:9">
      <c r="A123" t="s">
        <v>90</v>
      </c>
      <c r="B123" t="s">
        <v>191</v>
      </c>
      <c r="C123">
        <v>2022</v>
      </c>
      <c r="D123" t="s">
        <v>274</v>
      </c>
      <c r="E123">
        <v>0.0114942528307437</v>
      </c>
      <c r="F123">
        <v>0.0013207108143783</v>
      </c>
      <c r="G123">
        <v>0.003973883</v>
      </c>
      <c r="H123">
        <v>4.678422244134831</v>
      </c>
      <c r="I123">
        <v>0.1465262867116183</v>
      </c>
    </row>
    <row r="124" spans="1:9">
      <c r="A124" t="s">
        <v>90</v>
      </c>
      <c r="B124" t="s">
        <v>191</v>
      </c>
      <c r="C124">
        <v>2023</v>
      </c>
      <c r="D124" t="s">
        <v>274</v>
      </c>
      <c r="E124">
        <v>0.0114942528307437</v>
      </c>
      <c r="F124">
        <v>0.0100863015915721</v>
      </c>
      <c r="G124">
        <v>0.004005706</v>
      </c>
      <c r="H124">
        <v>3.878864182671623</v>
      </c>
      <c r="I124">
        <v>0.1294507228638704</v>
      </c>
    </row>
    <row r="125" spans="1:9">
      <c r="A125" t="s">
        <v>90</v>
      </c>
      <c r="B125" t="s">
        <v>191</v>
      </c>
      <c r="C125">
        <v>2024</v>
      </c>
      <c r="D125" t="s">
        <v>274</v>
      </c>
      <c r="E125">
        <v>0.0114942528307437</v>
      </c>
      <c r="F125">
        <v>0.0038815251952894</v>
      </c>
      <c r="G125">
        <v>0.002897508</v>
      </c>
      <c r="H125">
        <v>3.755990761901067</v>
      </c>
      <c r="I125">
        <v>0.1611168739085334</v>
      </c>
    </row>
    <row r="126" spans="1:9">
      <c r="A126" t="s">
        <v>91</v>
      </c>
      <c r="B126" t="s">
        <v>192</v>
      </c>
      <c r="C126">
        <v>2022</v>
      </c>
      <c r="D126" t="s">
        <v>263</v>
      </c>
      <c r="E126">
        <v>0.0114942528307437</v>
      </c>
      <c r="F126">
        <v>0.0321094939411844</v>
      </c>
      <c r="G126">
        <v>0.0037794276</v>
      </c>
      <c r="H126">
        <v>8.467186846262294</v>
      </c>
      <c r="I126">
        <v>2.054583995760466</v>
      </c>
    </row>
    <row r="127" spans="1:9">
      <c r="A127" t="s">
        <v>91</v>
      </c>
      <c r="B127" t="s">
        <v>192</v>
      </c>
      <c r="C127">
        <v>2023</v>
      </c>
      <c r="D127" t="s">
        <v>263</v>
      </c>
      <c r="E127">
        <v>0.0114942528307437</v>
      </c>
      <c r="F127">
        <v>0.0435450508044451</v>
      </c>
      <c r="G127">
        <v>0.0036332188</v>
      </c>
      <c r="H127">
        <v>8.122288976681352</v>
      </c>
      <c r="I127">
        <v>2.166700487012986</v>
      </c>
    </row>
    <row r="128" spans="1:9">
      <c r="A128" t="s">
        <v>91</v>
      </c>
      <c r="B128" t="s">
        <v>192</v>
      </c>
      <c r="C128">
        <v>2024</v>
      </c>
      <c r="D128" t="s">
        <v>263</v>
      </c>
      <c r="E128">
        <v>0.0114942528307437</v>
      </c>
      <c r="F128">
        <v>0.0614528201472914</v>
      </c>
      <c r="G128">
        <v>0.0037794276</v>
      </c>
      <c r="H128">
        <v>6.377084647913581</v>
      </c>
      <c r="I128">
        <v>2.203448963317384</v>
      </c>
    </row>
    <row r="129" spans="1:9">
      <c r="A129" t="s">
        <v>91</v>
      </c>
      <c r="B129" t="s">
        <v>192</v>
      </c>
      <c r="C129">
        <v>2025</v>
      </c>
      <c r="D129" t="s">
        <v>263</v>
      </c>
      <c r="E129">
        <v>0.0114942528307437</v>
      </c>
      <c r="F129">
        <v>0.044952489627407</v>
      </c>
      <c r="G129">
        <v>0.0036332188</v>
      </c>
      <c r="H129">
        <v>5.901858253426596</v>
      </c>
      <c r="I129">
        <v>2.200270513976556</v>
      </c>
    </row>
    <row r="130" spans="1:9">
      <c r="A130" t="s">
        <v>92</v>
      </c>
      <c r="B130" t="s">
        <v>193</v>
      </c>
      <c r="C130">
        <v>2022</v>
      </c>
      <c r="D130" t="s">
        <v>262</v>
      </c>
      <c r="E130">
        <v>0.0114942528307437</v>
      </c>
      <c r="F130">
        <v>0.0154441539686445</v>
      </c>
      <c r="G130">
        <v>0.0028522508</v>
      </c>
      <c r="H130">
        <v>2.163660885627288</v>
      </c>
      <c r="I130">
        <v>0.5431963624115864</v>
      </c>
    </row>
    <row r="131" spans="1:9">
      <c r="A131" t="s">
        <v>92</v>
      </c>
      <c r="B131" t="s">
        <v>193</v>
      </c>
      <c r="C131">
        <v>2023</v>
      </c>
      <c r="D131" t="s">
        <v>262</v>
      </c>
      <c r="E131">
        <v>0.0114942528307437</v>
      </c>
      <c r="F131">
        <v>0.0060566835227065</v>
      </c>
      <c r="G131">
        <v>0.0028522508</v>
      </c>
      <c r="H131">
        <v>2.07559121567386</v>
      </c>
      <c r="I131">
        <v>0.5025836800064466</v>
      </c>
    </row>
    <row r="132" spans="1:9">
      <c r="A132" t="s">
        <v>92</v>
      </c>
      <c r="B132" t="s">
        <v>193</v>
      </c>
      <c r="C132">
        <v>2024</v>
      </c>
      <c r="D132" t="s">
        <v>262</v>
      </c>
      <c r="E132">
        <v>0.0114942528307437</v>
      </c>
      <c r="F132">
        <v>0.0032501642714806</v>
      </c>
      <c r="G132">
        <v>0.0027418113</v>
      </c>
      <c r="H132">
        <v>2.411923998953065</v>
      </c>
      <c r="I132">
        <v>0.4840609358862318</v>
      </c>
    </row>
    <row r="133" spans="1:9">
      <c r="A133" t="s">
        <v>92</v>
      </c>
      <c r="B133" t="s">
        <v>193</v>
      </c>
      <c r="C133">
        <v>2025</v>
      </c>
      <c r="D133" t="s">
        <v>262</v>
      </c>
      <c r="E133">
        <v>0.0114942528307437</v>
      </c>
      <c r="F133">
        <v>0.0027534029626378</v>
      </c>
      <c r="G133">
        <v>0.0027958278</v>
      </c>
      <c r="H133">
        <v>2.86960049257411</v>
      </c>
      <c r="I133">
        <v>0.4084591650055976</v>
      </c>
    </row>
    <row r="134" spans="1:9">
      <c r="A134" t="s">
        <v>93</v>
      </c>
      <c r="B134" t="s">
        <v>194</v>
      </c>
      <c r="C134">
        <v>2022</v>
      </c>
      <c r="D134" t="s">
        <v>261</v>
      </c>
      <c r="E134">
        <v>0.0114942528307437</v>
      </c>
      <c r="F134">
        <v>0.0023731173469668</v>
      </c>
      <c r="G134">
        <v>0.003897199</v>
      </c>
      <c r="H134">
        <v>90.20372962632123</v>
      </c>
      <c r="I134">
        <v>0.0472990954579883</v>
      </c>
    </row>
    <row r="135" spans="1:9">
      <c r="A135" t="s">
        <v>93</v>
      </c>
      <c r="B135" t="s">
        <v>194</v>
      </c>
      <c r="C135">
        <v>2023</v>
      </c>
      <c r="D135" t="s">
        <v>261</v>
      </c>
      <c r="E135">
        <v>0.0114942528307437</v>
      </c>
      <c r="F135">
        <v>0.0136277453202145</v>
      </c>
      <c r="G135">
        <v>0.0040539876</v>
      </c>
      <c r="H135">
        <v>69.24171192147855</v>
      </c>
      <c r="I135">
        <v>0.0399932830390516</v>
      </c>
    </row>
    <row r="136" spans="1:9">
      <c r="A136" t="s">
        <v>93</v>
      </c>
      <c r="B136" t="s">
        <v>194</v>
      </c>
      <c r="C136">
        <v>2024</v>
      </c>
      <c r="D136" t="s">
        <v>261</v>
      </c>
      <c r="E136">
        <v>0.0114942528307437</v>
      </c>
      <c r="F136">
        <v>0.0100574084676952</v>
      </c>
      <c r="G136">
        <v>0.003897199</v>
      </c>
      <c r="H136">
        <v>75.25502057972061</v>
      </c>
      <c r="I136">
        <v>0.031673211101615</v>
      </c>
    </row>
    <row r="137" spans="1:9">
      <c r="A137" t="s">
        <v>93</v>
      </c>
      <c r="B137" t="s">
        <v>194</v>
      </c>
      <c r="C137">
        <v>2025</v>
      </c>
      <c r="D137" t="s">
        <v>261</v>
      </c>
      <c r="E137">
        <v>0.0114942528307437</v>
      </c>
      <c r="F137">
        <v>0.0227207761822184</v>
      </c>
      <c r="G137">
        <v>0.0040539876</v>
      </c>
      <c r="H137">
        <v>52.42180995282685</v>
      </c>
      <c r="I137">
        <v>0.0382531997059887</v>
      </c>
    </row>
    <row r="138" spans="1:9">
      <c r="A138" t="s">
        <v>94</v>
      </c>
      <c r="B138" t="s">
        <v>195</v>
      </c>
      <c r="C138">
        <v>2021</v>
      </c>
      <c r="D138" t="s">
        <v>272</v>
      </c>
      <c r="E138">
        <v>0</v>
      </c>
      <c r="F138">
        <v>0.0314474446925945</v>
      </c>
      <c r="G138">
        <v>0.0027333575</v>
      </c>
      <c r="H138">
        <v>1.193569418176554</v>
      </c>
      <c r="I138">
        <v>2.874853150312249</v>
      </c>
    </row>
    <row r="139" spans="1:9">
      <c r="A139" t="s">
        <v>94</v>
      </c>
      <c r="B139" t="s">
        <v>195</v>
      </c>
      <c r="C139">
        <v>2022</v>
      </c>
      <c r="D139" t="s">
        <v>272</v>
      </c>
      <c r="E139">
        <v>0.0114942528307437</v>
      </c>
      <c r="F139">
        <v>0.1807669999319408</v>
      </c>
      <c r="G139">
        <v>0.004306015</v>
      </c>
      <c r="H139">
        <v>0.9014396405023806</v>
      </c>
      <c r="I139">
        <v>3.248554645946071</v>
      </c>
    </row>
    <row r="140" spans="1:9">
      <c r="A140" t="s">
        <v>94</v>
      </c>
      <c r="B140" t="s">
        <v>195</v>
      </c>
      <c r="C140">
        <v>2023</v>
      </c>
      <c r="D140" t="s">
        <v>272</v>
      </c>
      <c r="E140">
        <v>0</v>
      </c>
      <c r="F140">
        <v>0.0166175116146466</v>
      </c>
      <c r="G140">
        <v>0.0031560776</v>
      </c>
      <c r="H140">
        <v>1.005972808507865</v>
      </c>
      <c r="I140">
        <v>3.53276599724125</v>
      </c>
    </row>
    <row r="141" spans="1:9">
      <c r="A141" t="s">
        <v>94</v>
      </c>
      <c r="B141" t="s">
        <v>195</v>
      </c>
      <c r="C141">
        <v>2024</v>
      </c>
      <c r="D141" t="s">
        <v>272</v>
      </c>
      <c r="E141">
        <v>0</v>
      </c>
      <c r="F141">
        <v>0.0363308389797504</v>
      </c>
      <c r="G141">
        <v>0.0032831484</v>
      </c>
      <c r="H141">
        <v>1.02515081592409</v>
      </c>
      <c r="I141">
        <v>3.58786662205866</v>
      </c>
    </row>
    <row r="142" spans="1:9">
      <c r="A142" t="s">
        <v>95</v>
      </c>
      <c r="B142" t="s">
        <v>196</v>
      </c>
      <c r="C142">
        <v>2021</v>
      </c>
      <c r="D142" t="s">
        <v>275</v>
      </c>
      <c r="E142">
        <v>0</v>
      </c>
      <c r="F142">
        <v>0.0067577289158621</v>
      </c>
      <c r="G142">
        <v>0.0046148873</v>
      </c>
      <c r="H142">
        <v>0.7052510857356029</v>
      </c>
      <c r="I142">
        <v>0.9434879682460928</v>
      </c>
    </row>
    <row r="143" spans="1:9">
      <c r="A143" t="s">
        <v>95</v>
      </c>
      <c r="B143" t="s">
        <v>196</v>
      </c>
      <c r="C143">
        <v>2022</v>
      </c>
      <c r="D143" t="s">
        <v>275</v>
      </c>
      <c r="E143">
        <v>0</v>
      </c>
      <c r="F143">
        <v>0.0017779941975194</v>
      </c>
      <c r="G143">
        <v>0.0027885255</v>
      </c>
      <c r="H143">
        <v>0.7116971679933567</v>
      </c>
      <c r="I143">
        <v>0.7759971509971509</v>
      </c>
    </row>
    <row r="144" spans="1:9">
      <c r="A144" t="s">
        <v>95</v>
      </c>
      <c r="B144" t="s">
        <v>196</v>
      </c>
      <c r="C144">
        <v>2023</v>
      </c>
      <c r="D144" t="s">
        <v>275</v>
      </c>
      <c r="E144">
        <v>0</v>
      </c>
      <c r="F144">
        <v>0.0006805830681417</v>
      </c>
      <c r="G144">
        <v>0.0025447009</v>
      </c>
      <c r="H144">
        <v>1.222820654780401</v>
      </c>
      <c r="I144">
        <v>0.7490055833302923</v>
      </c>
    </row>
    <row r="145" spans="1:9">
      <c r="A145" t="s">
        <v>95</v>
      </c>
      <c r="B145" t="s">
        <v>196</v>
      </c>
      <c r="C145">
        <v>2024</v>
      </c>
      <c r="D145" t="s">
        <v>275</v>
      </c>
      <c r="E145">
        <v>0</v>
      </c>
      <c r="F145">
        <v>0.0036388907797802</v>
      </c>
      <c r="G145">
        <v>0.0026488714</v>
      </c>
      <c r="H145">
        <v>2.150639752006577</v>
      </c>
      <c r="I145">
        <v>0.996432633646986</v>
      </c>
    </row>
    <row r="146" spans="1:9">
      <c r="A146" t="s">
        <v>96</v>
      </c>
      <c r="B146" t="s">
        <v>197</v>
      </c>
      <c r="C146">
        <v>2021</v>
      </c>
      <c r="D146" t="s">
        <v>262</v>
      </c>
      <c r="E146">
        <v>0</v>
      </c>
      <c r="F146">
        <v>0.0127717618991965</v>
      </c>
      <c r="G146">
        <v>0.0027753897</v>
      </c>
      <c r="H146">
        <v>2.24427887445509</v>
      </c>
      <c r="I146">
        <v>1.267027386207224</v>
      </c>
    </row>
    <row r="147" spans="1:9">
      <c r="A147" t="s">
        <v>96</v>
      </c>
      <c r="B147" t="s">
        <v>197</v>
      </c>
      <c r="C147">
        <v>2022</v>
      </c>
      <c r="D147" t="s">
        <v>262</v>
      </c>
      <c r="E147">
        <v>0</v>
      </c>
      <c r="F147">
        <v>0.023544172762621</v>
      </c>
      <c r="G147">
        <v>0.0026488714</v>
      </c>
      <c r="H147">
        <v>2.574436297083728</v>
      </c>
      <c r="I147">
        <v>1.187853107344633</v>
      </c>
    </row>
    <row r="148" spans="1:9">
      <c r="A148" t="s">
        <v>96</v>
      </c>
      <c r="B148" t="s">
        <v>197</v>
      </c>
      <c r="C148">
        <v>2023</v>
      </c>
      <c r="D148" t="s">
        <v>262</v>
      </c>
      <c r="E148">
        <v>0</v>
      </c>
      <c r="F148">
        <v>0.0182331642204217</v>
      </c>
      <c r="G148">
        <v>0.0026488714</v>
      </c>
      <c r="H148">
        <v>2.739040509212579</v>
      </c>
      <c r="I148">
        <v>1.094337143607936</v>
      </c>
    </row>
    <row r="149" spans="1:9">
      <c r="A149" t="s">
        <v>96</v>
      </c>
      <c r="B149" t="s">
        <v>197</v>
      </c>
      <c r="C149">
        <v>2024</v>
      </c>
      <c r="D149" t="s">
        <v>262</v>
      </c>
      <c r="E149">
        <v>0</v>
      </c>
      <c r="F149">
        <v>0.0454236585610833</v>
      </c>
      <c r="G149">
        <v>0.0025976868</v>
      </c>
      <c r="H149">
        <v>2.668772777876827</v>
      </c>
      <c r="I149">
        <v>1.381841696844284</v>
      </c>
    </row>
    <row r="150" spans="1:9">
      <c r="A150" t="s">
        <v>97</v>
      </c>
      <c r="B150" t="s">
        <v>198</v>
      </c>
      <c r="C150">
        <v>2021</v>
      </c>
      <c r="D150" t="s">
        <v>275</v>
      </c>
      <c r="E150">
        <v>0</v>
      </c>
      <c r="F150">
        <v>0.0408469798354833</v>
      </c>
      <c r="G150">
        <v>0.0027333575</v>
      </c>
      <c r="H150">
        <v>1.278374660167126</v>
      </c>
      <c r="I150">
        <v>1.847733663631494</v>
      </c>
    </row>
    <row r="151" spans="1:9">
      <c r="A151" t="s">
        <v>97</v>
      </c>
      <c r="B151" t="s">
        <v>198</v>
      </c>
      <c r="C151">
        <v>2022</v>
      </c>
      <c r="D151" t="s">
        <v>275</v>
      </c>
      <c r="E151">
        <v>0.0114942528307437</v>
      </c>
      <c r="F151">
        <v>0.0476336129758262</v>
      </c>
      <c r="G151">
        <v>0.003099174</v>
      </c>
      <c r="H151">
        <v>1.20181381738176</v>
      </c>
      <c r="I151">
        <v>1.70618952088742</v>
      </c>
    </row>
    <row r="152" spans="1:9">
      <c r="A152" t="s">
        <v>97</v>
      </c>
      <c r="B152" t="s">
        <v>198</v>
      </c>
      <c r="C152">
        <v>2023</v>
      </c>
      <c r="D152" t="s">
        <v>275</v>
      </c>
      <c r="E152">
        <v>0</v>
      </c>
      <c r="F152">
        <v>0.0215592512698122</v>
      </c>
      <c r="G152">
        <v>0.0031560776</v>
      </c>
      <c r="H152">
        <v>1.172277995822698</v>
      </c>
      <c r="I152">
        <v>1.907849298447562</v>
      </c>
    </row>
    <row r="153" spans="1:9">
      <c r="A153" t="s">
        <v>97</v>
      </c>
      <c r="B153" t="s">
        <v>198</v>
      </c>
      <c r="C153">
        <v>2024</v>
      </c>
      <c r="D153" t="s">
        <v>275</v>
      </c>
      <c r="E153">
        <v>0</v>
      </c>
      <c r="F153">
        <v>0.0142678899817433</v>
      </c>
      <c r="G153">
        <v>0.0028209651</v>
      </c>
      <c r="H153">
        <v>1.199802290120078</v>
      </c>
      <c r="I153">
        <v>2.072123921867072</v>
      </c>
    </row>
    <row r="154" spans="1:9">
      <c r="A154" t="s">
        <v>98</v>
      </c>
      <c r="B154" t="s">
        <v>199</v>
      </c>
      <c r="C154">
        <v>2021</v>
      </c>
      <c r="D154" t="s">
        <v>261</v>
      </c>
      <c r="E154">
        <v>0.0114942528307437</v>
      </c>
      <c r="F154">
        <v>0.0003168823406587</v>
      </c>
      <c r="G154">
        <v>0.004163428</v>
      </c>
      <c r="H154">
        <v>13.11278216587472</v>
      </c>
      <c r="I154">
        <v>0.1128420132334532</v>
      </c>
    </row>
    <row r="155" spans="1:9">
      <c r="A155" t="s">
        <v>98</v>
      </c>
      <c r="B155" t="s">
        <v>199</v>
      </c>
      <c r="C155">
        <v>2022</v>
      </c>
      <c r="D155" t="s">
        <v>261</v>
      </c>
      <c r="E155">
        <v>0.0114942528307437</v>
      </c>
      <c r="F155">
        <v>0.0590950152789925</v>
      </c>
      <c r="G155">
        <v>0.0041337484</v>
      </c>
      <c r="H155">
        <v>8.454293025520922</v>
      </c>
      <c r="I155">
        <v>0.1158684177650071</v>
      </c>
    </row>
    <row r="156" spans="1:9">
      <c r="A156" t="s">
        <v>98</v>
      </c>
      <c r="B156" t="s">
        <v>199</v>
      </c>
      <c r="C156">
        <v>2023</v>
      </c>
      <c r="D156" t="s">
        <v>261</v>
      </c>
      <c r="E156">
        <v>0.0114942528307437</v>
      </c>
      <c r="F156">
        <v>0.0053663892562273</v>
      </c>
      <c r="G156">
        <v>0.003973883</v>
      </c>
      <c r="H156">
        <v>11.02924102292851</v>
      </c>
      <c r="I156">
        <v>0.0957057509554342</v>
      </c>
    </row>
    <row r="157" spans="1:9">
      <c r="A157" t="s">
        <v>98</v>
      </c>
      <c r="B157" t="s">
        <v>199</v>
      </c>
      <c r="C157">
        <v>2024</v>
      </c>
      <c r="D157" t="s">
        <v>261</v>
      </c>
      <c r="E157">
        <v>0.0114942528307437</v>
      </c>
      <c r="F157">
        <v>0.0065867300624458</v>
      </c>
      <c r="G157">
        <v>0.003973883</v>
      </c>
      <c r="H157">
        <v>13.68121638993304</v>
      </c>
      <c r="I157">
        <v>0.0783212954190301</v>
      </c>
    </row>
    <row r="158" spans="1:9">
      <c r="A158" t="s">
        <v>99</v>
      </c>
      <c r="B158" t="s">
        <v>200</v>
      </c>
      <c r="C158">
        <v>2022</v>
      </c>
      <c r="D158" t="s">
        <v>267</v>
      </c>
      <c r="E158">
        <v>0</v>
      </c>
      <c r="F158">
        <v>0.0030511902051272</v>
      </c>
      <c r="G158">
        <v>0.002680547</v>
      </c>
      <c r="H158">
        <v>0.4408001999432808</v>
      </c>
      <c r="I158">
        <v>0.8729660963357956</v>
      </c>
    </row>
    <row r="159" spans="1:9">
      <c r="A159" t="s">
        <v>99</v>
      </c>
      <c r="B159" t="s">
        <v>200</v>
      </c>
      <c r="C159">
        <v>2023</v>
      </c>
      <c r="D159" t="s">
        <v>267</v>
      </c>
      <c r="E159">
        <v>0</v>
      </c>
      <c r="F159">
        <v>0.0031330813304831</v>
      </c>
      <c r="G159">
        <v>0.002680547</v>
      </c>
      <c r="H159">
        <v>0.409545961576883</v>
      </c>
      <c r="I159">
        <v>1.082271836553023</v>
      </c>
    </row>
    <row r="160" spans="1:9">
      <c r="A160" t="s">
        <v>99</v>
      </c>
      <c r="B160" t="s">
        <v>200</v>
      </c>
      <c r="C160">
        <v>2024</v>
      </c>
      <c r="D160" t="s">
        <v>267</v>
      </c>
      <c r="E160">
        <v>0.0060048028826713</v>
      </c>
      <c r="F160">
        <v>0.0047040111072489</v>
      </c>
      <c r="G160">
        <v>0.0027885255</v>
      </c>
      <c r="H160">
        <v>0.4112994680352782</v>
      </c>
      <c r="I160">
        <v>1.164987862814699</v>
      </c>
    </row>
    <row r="161" spans="1:9">
      <c r="A161" t="s">
        <v>99</v>
      </c>
      <c r="B161" t="s">
        <v>200</v>
      </c>
      <c r="C161">
        <v>2025</v>
      </c>
      <c r="D161" t="s">
        <v>267</v>
      </c>
      <c r="E161">
        <v>0</v>
      </c>
      <c r="F161">
        <v>0.001995709496243</v>
      </c>
      <c r="G161">
        <v>0.002680547</v>
      </c>
      <c r="H161">
        <v>0.4439553493162139</v>
      </c>
      <c r="I161">
        <v>0.9543063355044986</v>
      </c>
    </row>
    <row r="162" spans="1:9">
      <c r="A162" t="s">
        <v>100</v>
      </c>
      <c r="B162" t="s">
        <v>201</v>
      </c>
      <c r="C162">
        <v>2022</v>
      </c>
      <c r="D162" t="s">
        <v>267</v>
      </c>
      <c r="E162">
        <v>0.0114942528307437</v>
      </c>
      <c r="F162">
        <v>0.000372333431896</v>
      </c>
      <c r="G162">
        <v>0.0041337484</v>
      </c>
      <c r="H162">
        <v>14.68630495758276</v>
      </c>
      <c r="I162">
        <v>0.0212592486904058</v>
      </c>
    </row>
    <row r="163" spans="1:9">
      <c r="A163" t="s">
        <v>100</v>
      </c>
      <c r="B163" t="s">
        <v>201</v>
      </c>
      <c r="C163">
        <v>2023</v>
      </c>
      <c r="D163" t="s">
        <v>267</v>
      </c>
      <c r="E163">
        <v>0.0114942528307437</v>
      </c>
      <c r="F163">
        <v>0.0020413058637568</v>
      </c>
      <c r="G163">
        <v>0.003973883</v>
      </c>
      <c r="H163">
        <v>17.38823786107984</v>
      </c>
      <c r="I163">
        <v>0.024232665394402</v>
      </c>
    </row>
    <row r="164" spans="1:9">
      <c r="A164" t="s">
        <v>100</v>
      </c>
      <c r="B164" t="s">
        <v>201</v>
      </c>
      <c r="C164">
        <v>2024</v>
      </c>
      <c r="D164" t="s">
        <v>267</v>
      </c>
      <c r="E164">
        <v>0.0114942528307437</v>
      </c>
      <c r="F164">
        <v>0.0025393651124799</v>
      </c>
      <c r="G164">
        <v>0.0041337484</v>
      </c>
      <c r="H164">
        <v>13.49153387695511</v>
      </c>
      <c r="I164">
        <v>0.0289741887617634</v>
      </c>
    </row>
    <row r="165" spans="1:9">
      <c r="A165" t="s">
        <v>100</v>
      </c>
      <c r="B165" t="s">
        <v>201</v>
      </c>
      <c r="C165">
        <v>2025</v>
      </c>
      <c r="D165" t="s">
        <v>267</v>
      </c>
      <c r="E165">
        <v>0.0114942528307437</v>
      </c>
      <c r="F165">
        <v>0.0028014631278572</v>
      </c>
      <c r="G165">
        <v>0.003973883</v>
      </c>
      <c r="H165">
        <v>12.84986989424428</v>
      </c>
      <c r="I165">
        <v>0.0333589733209181</v>
      </c>
    </row>
    <row r="166" spans="1:9">
      <c r="A166" t="s">
        <v>101</v>
      </c>
      <c r="B166" t="s">
        <v>202</v>
      </c>
      <c r="C166">
        <v>2022</v>
      </c>
      <c r="D166" t="s">
        <v>262</v>
      </c>
      <c r="E166">
        <v>0</v>
      </c>
      <c r="F166">
        <v>0.0022600702238252</v>
      </c>
      <c r="G166">
        <v>0.0033531121</v>
      </c>
      <c r="H166">
        <v>1.287165784099068</v>
      </c>
      <c r="I166">
        <v>0.2929713131816213</v>
      </c>
    </row>
    <row r="167" spans="1:9">
      <c r="A167" t="s">
        <v>101</v>
      </c>
      <c r="B167" t="s">
        <v>202</v>
      </c>
      <c r="C167">
        <v>2023</v>
      </c>
      <c r="D167" t="s">
        <v>262</v>
      </c>
      <c r="E167">
        <v>0</v>
      </c>
      <c r="F167">
        <v>0.0029002467284045</v>
      </c>
      <c r="G167">
        <v>0.0035911074</v>
      </c>
      <c r="H167">
        <v>1.357841360196397</v>
      </c>
      <c r="I167">
        <v>0.2905659297673067</v>
      </c>
    </row>
    <row r="168" spans="1:9">
      <c r="A168" t="s">
        <v>101</v>
      </c>
      <c r="B168" t="s">
        <v>202</v>
      </c>
      <c r="C168">
        <v>2024</v>
      </c>
      <c r="D168" t="s">
        <v>262</v>
      </c>
      <c r="E168">
        <v>0</v>
      </c>
      <c r="F168">
        <v>0.0014108038826093</v>
      </c>
      <c r="G168">
        <v>0.0033531121</v>
      </c>
      <c r="H168">
        <v>1.393221912431695</v>
      </c>
      <c r="I168">
        <v>0.3171058191327948</v>
      </c>
    </row>
    <row r="169" spans="1:9">
      <c r="A169" t="s">
        <v>101</v>
      </c>
      <c r="B169" t="s">
        <v>202</v>
      </c>
      <c r="C169">
        <v>2025</v>
      </c>
      <c r="D169" t="s">
        <v>262</v>
      </c>
      <c r="E169">
        <v>0</v>
      </c>
      <c r="F169">
        <v>0.0052364521954666</v>
      </c>
      <c r="G169">
        <v>0.0034880885</v>
      </c>
      <c r="H169">
        <v>1.337389783769366</v>
      </c>
      <c r="I169">
        <v>0.3587576032149845</v>
      </c>
    </row>
    <row r="170" spans="1:9">
      <c r="A170" t="s">
        <v>102</v>
      </c>
      <c r="B170" t="s">
        <v>102</v>
      </c>
      <c r="C170">
        <v>2021</v>
      </c>
      <c r="D170" t="s">
        <v>262</v>
      </c>
      <c r="E170">
        <v>0</v>
      </c>
      <c r="F170">
        <v>0.0271236027169293</v>
      </c>
      <c r="G170">
        <v>0.0026488714</v>
      </c>
      <c r="H170">
        <v>2.121313700026763</v>
      </c>
      <c r="I170">
        <v>2.917253055393894</v>
      </c>
    </row>
    <row r="171" spans="1:9">
      <c r="A171" t="s">
        <v>102</v>
      </c>
      <c r="B171" t="s">
        <v>102</v>
      </c>
      <c r="C171">
        <v>2022</v>
      </c>
      <c r="D171" t="s">
        <v>262</v>
      </c>
      <c r="E171">
        <v>0</v>
      </c>
      <c r="F171">
        <v>0.0152255006905759</v>
      </c>
      <c r="G171">
        <v>0.0025976868</v>
      </c>
      <c r="H171">
        <v>2.369445162285385</v>
      </c>
      <c r="I171">
        <v>2.461401749908859</v>
      </c>
    </row>
    <row r="172" spans="1:9">
      <c r="A172" t="s">
        <v>102</v>
      </c>
      <c r="B172" t="s">
        <v>102</v>
      </c>
      <c r="C172">
        <v>2023</v>
      </c>
      <c r="D172" t="s">
        <v>262</v>
      </c>
      <c r="E172">
        <v>0</v>
      </c>
      <c r="F172">
        <v>0.0065285245712933</v>
      </c>
      <c r="G172">
        <v>0.0026488714</v>
      </c>
      <c r="H172">
        <v>2.766782143123347</v>
      </c>
      <c r="I172">
        <v>2.659876625393867</v>
      </c>
    </row>
    <row r="173" spans="1:9">
      <c r="A173" t="s">
        <v>102</v>
      </c>
      <c r="B173" t="s">
        <v>102</v>
      </c>
      <c r="C173">
        <v>2024</v>
      </c>
      <c r="D173" t="s">
        <v>262</v>
      </c>
      <c r="E173">
        <v>0</v>
      </c>
      <c r="F173">
        <v>0.0110184493473007</v>
      </c>
      <c r="G173">
        <v>0.0026488714</v>
      </c>
      <c r="H173">
        <v>3.551431429764984</v>
      </c>
      <c r="I173">
        <v>2.138499285897389</v>
      </c>
    </row>
    <row r="174" spans="1:9">
      <c r="A174" t="s">
        <v>103</v>
      </c>
      <c r="B174" t="s">
        <v>203</v>
      </c>
      <c r="C174">
        <v>2022</v>
      </c>
      <c r="D174" t="s">
        <v>267</v>
      </c>
      <c r="E174">
        <v>0</v>
      </c>
      <c r="F174">
        <v>0.0022784181417785</v>
      </c>
      <c r="G174">
        <v>0.002680547</v>
      </c>
      <c r="H174">
        <v>0.3798133656117684</v>
      </c>
      <c r="I174">
        <v>0.8706402502417224</v>
      </c>
    </row>
    <row r="175" spans="1:9">
      <c r="A175" t="s">
        <v>103</v>
      </c>
      <c r="B175" t="s">
        <v>203</v>
      </c>
      <c r="C175">
        <v>2023</v>
      </c>
      <c r="D175" t="s">
        <v>267</v>
      </c>
      <c r="E175">
        <v>0</v>
      </c>
      <c r="F175">
        <v>0.0017338521091744</v>
      </c>
      <c r="G175">
        <v>0.002680547</v>
      </c>
      <c r="H175">
        <v>0.4071003901455857</v>
      </c>
      <c r="I175">
        <v>0.8555306835509656</v>
      </c>
    </row>
    <row r="176" spans="1:9">
      <c r="A176" t="s">
        <v>103</v>
      </c>
      <c r="B176" t="s">
        <v>203</v>
      </c>
      <c r="C176">
        <v>2024</v>
      </c>
      <c r="D176" t="s">
        <v>267</v>
      </c>
      <c r="E176">
        <v>0</v>
      </c>
      <c r="F176">
        <v>0.001276951124074</v>
      </c>
      <c r="G176">
        <v>0.002680547</v>
      </c>
      <c r="H176">
        <v>0.414646144547747</v>
      </c>
      <c r="I176">
        <v>0.7847103000307781</v>
      </c>
    </row>
    <row r="177" spans="1:9">
      <c r="A177" t="s">
        <v>103</v>
      </c>
      <c r="B177" t="s">
        <v>203</v>
      </c>
      <c r="C177">
        <v>2025</v>
      </c>
      <c r="D177" t="s">
        <v>267</v>
      </c>
      <c r="E177">
        <v>0</v>
      </c>
      <c r="F177">
        <v>0.0016265764826452</v>
      </c>
      <c r="G177">
        <v>0.002680547</v>
      </c>
      <c r="H177">
        <v>0.4573391693591552</v>
      </c>
      <c r="I177">
        <v>0.6487604844081014</v>
      </c>
    </row>
    <row r="178" spans="1:9">
      <c r="A178" t="s">
        <v>104</v>
      </c>
      <c r="B178" t="s">
        <v>204</v>
      </c>
      <c r="C178">
        <v>2022</v>
      </c>
      <c r="D178" t="s">
        <v>260</v>
      </c>
      <c r="E178">
        <v>0.3333333432674408</v>
      </c>
      <c r="F178">
        <v>0.9950175715572384</v>
      </c>
      <c r="G178">
        <v>0.95668215</v>
      </c>
      <c r="H178">
        <v>-0.247377086539436</v>
      </c>
      <c r="I178">
        <v>-3.449718227122496</v>
      </c>
    </row>
    <row r="179" spans="1:9">
      <c r="A179" t="s">
        <v>104</v>
      </c>
      <c r="B179" t="s">
        <v>204</v>
      </c>
      <c r="C179">
        <v>2023</v>
      </c>
      <c r="D179" t="s">
        <v>260</v>
      </c>
      <c r="E179">
        <v>0.1761997528374195</v>
      </c>
      <c r="F179">
        <v>0.3514703040776941</v>
      </c>
      <c r="G179">
        <v>0.58784324</v>
      </c>
      <c r="H179">
        <v>-0.2705622644408757</v>
      </c>
      <c r="I179">
        <v>-3.197537355885157</v>
      </c>
    </row>
    <row r="180" spans="1:9">
      <c r="A180" t="s">
        <v>105</v>
      </c>
      <c r="B180" t="s">
        <v>205</v>
      </c>
      <c r="C180">
        <v>2022</v>
      </c>
      <c r="D180" t="s">
        <v>264</v>
      </c>
      <c r="E180">
        <v>0.0114942528307437</v>
      </c>
      <c r="F180">
        <v>0.0281212535010013</v>
      </c>
      <c r="G180">
        <v>0.0032831484</v>
      </c>
      <c r="H180">
        <v>0.2902978293940916</v>
      </c>
      <c r="I180">
        <v>2.512204669401458</v>
      </c>
    </row>
    <row r="181" spans="1:9">
      <c r="A181" t="s">
        <v>105</v>
      </c>
      <c r="B181" t="s">
        <v>205</v>
      </c>
      <c r="C181">
        <v>2023</v>
      </c>
      <c r="D181" t="s">
        <v>264</v>
      </c>
      <c r="E181">
        <v>0.0114942528307437</v>
      </c>
      <c r="F181">
        <v>0.0031635200284042</v>
      </c>
      <c r="G181">
        <v>0.0031560776</v>
      </c>
      <c r="H181">
        <v>0.3027713577092684</v>
      </c>
      <c r="I181">
        <v>2.213443440786492</v>
      </c>
    </row>
    <row r="182" spans="1:9">
      <c r="A182" t="s">
        <v>105</v>
      </c>
      <c r="B182" t="s">
        <v>205</v>
      </c>
      <c r="C182">
        <v>2024</v>
      </c>
      <c r="D182" t="s">
        <v>264</v>
      </c>
      <c r="E182">
        <v>0.0114942528307437</v>
      </c>
      <c r="F182">
        <v>0.0013737167945671</v>
      </c>
      <c r="G182">
        <v>0.0029792022</v>
      </c>
      <c r="H182">
        <v>0.3274240158643239</v>
      </c>
      <c r="I182">
        <v>1.361352846507887</v>
      </c>
    </row>
    <row r="183" spans="1:9">
      <c r="A183" t="s">
        <v>105</v>
      </c>
      <c r="B183" t="s">
        <v>205</v>
      </c>
      <c r="C183">
        <v>2025</v>
      </c>
      <c r="D183" t="s">
        <v>264</v>
      </c>
      <c r="E183">
        <v>0.0114942528307437</v>
      </c>
      <c r="F183">
        <v>0.0022047368175317</v>
      </c>
      <c r="G183">
        <v>0.0032831484</v>
      </c>
      <c r="H183">
        <v>0.3013074944037979</v>
      </c>
      <c r="I183">
        <v>0.86811984973181</v>
      </c>
    </row>
    <row r="184" spans="1:9">
      <c r="A184" t="s">
        <v>106</v>
      </c>
      <c r="B184" t="s">
        <v>206</v>
      </c>
      <c r="C184">
        <v>2022</v>
      </c>
      <c r="D184" t="s">
        <v>267</v>
      </c>
      <c r="E184">
        <v>0.0114942528307437</v>
      </c>
      <c r="F184">
        <v>0.0003044039716393</v>
      </c>
      <c r="G184">
        <v>0.003973883</v>
      </c>
      <c r="H184">
        <v>779.6299276770868</v>
      </c>
      <c r="I184">
        <v>0.0726285081983703</v>
      </c>
    </row>
    <row r="185" spans="1:9">
      <c r="A185" t="s">
        <v>106</v>
      </c>
      <c r="B185" t="s">
        <v>206</v>
      </c>
      <c r="C185">
        <v>2023</v>
      </c>
      <c r="D185" t="s">
        <v>267</v>
      </c>
      <c r="E185">
        <v>0.0114942528307437</v>
      </c>
      <c r="F185">
        <v>0.0194873745246932</v>
      </c>
      <c r="G185">
        <v>0.0041337484</v>
      </c>
      <c r="H185">
        <v>538.2519056672346</v>
      </c>
      <c r="I185">
        <v>0.1101177496729175</v>
      </c>
    </row>
    <row r="186" spans="1:9">
      <c r="A186" t="s">
        <v>106</v>
      </c>
      <c r="B186" t="s">
        <v>206</v>
      </c>
      <c r="C186">
        <v>2024</v>
      </c>
      <c r="D186" t="s">
        <v>267</v>
      </c>
      <c r="E186">
        <v>0.0114942528307437</v>
      </c>
      <c r="F186">
        <v>0.0130973719776842</v>
      </c>
      <c r="G186">
        <v>0.003973883</v>
      </c>
      <c r="H186">
        <v>596.3160506417107</v>
      </c>
      <c r="I186">
        <v>0.09489534993844111</v>
      </c>
    </row>
    <row r="187" spans="1:9">
      <c r="A187" t="s">
        <v>106</v>
      </c>
      <c r="B187" t="s">
        <v>206</v>
      </c>
      <c r="C187">
        <v>2025</v>
      </c>
      <c r="D187" t="s">
        <v>267</v>
      </c>
      <c r="E187">
        <v>0.0114942528307437</v>
      </c>
      <c r="F187">
        <v>0.008469507933250299</v>
      </c>
      <c r="G187">
        <v>0.003973883</v>
      </c>
      <c r="H187">
        <v>751.1321675188345</v>
      </c>
      <c r="I187">
        <v>0.0858545292280231</v>
      </c>
    </row>
    <row r="188" spans="1:9">
      <c r="A188" t="s">
        <v>107</v>
      </c>
      <c r="B188" t="s">
        <v>207</v>
      </c>
      <c r="C188">
        <v>2021</v>
      </c>
      <c r="D188" t="s">
        <v>262</v>
      </c>
      <c r="E188">
        <v>0.0114942528307437</v>
      </c>
      <c r="F188">
        <v>0.0050094609924755</v>
      </c>
      <c r="G188">
        <v>0.0029293448</v>
      </c>
      <c r="H188">
        <v>3.19088602776246</v>
      </c>
      <c r="I188">
        <v>0.3995135809457915</v>
      </c>
    </row>
    <row r="189" spans="1:9">
      <c r="A189" t="s">
        <v>107</v>
      </c>
      <c r="B189" t="s">
        <v>207</v>
      </c>
      <c r="C189">
        <v>2022</v>
      </c>
      <c r="D189" t="s">
        <v>262</v>
      </c>
      <c r="E189">
        <v>0.0114942528307437</v>
      </c>
      <c r="F189">
        <v>0.0580163801258424</v>
      </c>
      <c r="G189">
        <v>0.0031239751</v>
      </c>
      <c r="H189">
        <v>1.966987955153385</v>
      </c>
      <c r="I189">
        <v>0.4141762716543585</v>
      </c>
    </row>
    <row r="190" spans="1:9">
      <c r="A190" t="s">
        <v>107</v>
      </c>
      <c r="B190" t="s">
        <v>207</v>
      </c>
      <c r="C190">
        <v>2023</v>
      </c>
      <c r="D190" t="s">
        <v>262</v>
      </c>
      <c r="E190">
        <v>0.0114942528307437</v>
      </c>
      <c r="F190">
        <v>0.0046027011352969</v>
      </c>
      <c r="G190">
        <v>0.0027958278</v>
      </c>
      <c r="H190">
        <v>2.51413687574564</v>
      </c>
      <c r="I190">
        <v>0.4665782744578085</v>
      </c>
    </row>
    <row r="191" spans="1:9">
      <c r="A191" t="s">
        <v>107</v>
      </c>
      <c r="B191" t="s">
        <v>207</v>
      </c>
      <c r="C191">
        <v>2024</v>
      </c>
      <c r="D191" t="s">
        <v>262</v>
      </c>
      <c r="E191">
        <v>0.0114942528307437</v>
      </c>
      <c r="F191">
        <v>0.0242760305315194</v>
      </c>
      <c r="G191">
        <v>0.008725363</v>
      </c>
      <c r="H191">
        <v>1.268669551779684</v>
      </c>
      <c r="I191">
        <v>0.5037876498438602</v>
      </c>
    </row>
    <row r="192" spans="1:9">
      <c r="A192" t="s">
        <v>108</v>
      </c>
      <c r="B192" t="s">
        <v>208</v>
      </c>
      <c r="C192">
        <v>2022</v>
      </c>
      <c r="D192" t="s">
        <v>267</v>
      </c>
      <c r="E192">
        <v>0.0225125600894292</v>
      </c>
      <c r="F192">
        <v>4.248860102416228E-06</v>
      </c>
      <c r="G192">
        <v>0.004500377</v>
      </c>
      <c r="H192">
        <v>13.94882931678921</v>
      </c>
      <c r="I192">
        <v>0.0039986825834749</v>
      </c>
    </row>
    <row r="193" spans="1:9">
      <c r="A193" t="s">
        <v>108</v>
      </c>
      <c r="B193" t="s">
        <v>208</v>
      </c>
      <c r="C193">
        <v>2023</v>
      </c>
      <c r="D193" t="s">
        <v>267</v>
      </c>
      <c r="E193">
        <v>0.0225125600894292</v>
      </c>
      <c r="F193">
        <v>6.919319143662466E-05</v>
      </c>
      <c r="G193">
        <v>0.004500377</v>
      </c>
      <c r="H193">
        <v>18.81302699194454</v>
      </c>
      <c r="I193">
        <v>0.004429742582126</v>
      </c>
    </row>
    <row r="194" spans="1:9">
      <c r="A194" t="s">
        <v>108</v>
      </c>
      <c r="B194" t="s">
        <v>208</v>
      </c>
      <c r="C194">
        <v>2024</v>
      </c>
      <c r="D194" t="s">
        <v>267</v>
      </c>
      <c r="E194">
        <v>0.0248269860943158</v>
      </c>
      <c r="F194">
        <v>0.0002575890303193</v>
      </c>
      <c r="G194">
        <v>0.0047149155</v>
      </c>
      <c r="H194">
        <v>20.65253446449944</v>
      </c>
      <c r="I194">
        <v>0.0040765297220395</v>
      </c>
    </row>
    <row r="195" spans="1:9">
      <c r="A195" t="s">
        <v>108</v>
      </c>
      <c r="B195" t="s">
        <v>208</v>
      </c>
      <c r="C195">
        <v>2025</v>
      </c>
      <c r="D195" t="s">
        <v>267</v>
      </c>
      <c r="E195">
        <v>0.0248269860943158</v>
      </c>
      <c r="F195">
        <v>6.528890997696143E-05</v>
      </c>
      <c r="G195">
        <v>0.004500377</v>
      </c>
      <c r="H195">
        <v>22.37974017124367</v>
      </c>
      <c r="I195">
        <v>0.00406739678181</v>
      </c>
    </row>
    <row r="196" spans="1:9">
      <c r="A196" t="s">
        <v>109</v>
      </c>
      <c r="B196" t="s">
        <v>209</v>
      </c>
      <c r="C196">
        <v>2021</v>
      </c>
      <c r="D196" t="s">
        <v>267</v>
      </c>
      <c r="E196">
        <v>0</v>
      </c>
      <c r="F196">
        <v>0.0019108329555545</v>
      </c>
      <c r="G196">
        <v>0.0036091802</v>
      </c>
      <c r="H196">
        <v>3.928152199911094</v>
      </c>
      <c r="I196">
        <v>0.4559528795104224</v>
      </c>
    </row>
    <row r="197" spans="1:9">
      <c r="A197" t="s">
        <v>109</v>
      </c>
      <c r="B197" t="s">
        <v>209</v>
      </c>
      <c r="C197">
        <v>2022</v>
      </c>
      <c r="D197" t="s">
        <v>267</v>
      </c>
      <c r="E197">
        <v>0</v>
      </c>
      <c r="F197">
        <v>0.0119452716818379</v>
      </c>
      <c r="G197">
        <v>0.0036091802</v>
      </c>
      <c r="H197">
        <v>3.994359205043717</v>
      </c>
      <c r="I197">
        <v>0.51614499244831</v>
      </c>
    </row>
    <row r="198" spans="1:9">
      <c r="A198" t="s">
        <v>109</v>
      </c>
      <c r="B198" t="s">
        <v>209</v>
      </c>
      <c r="C198">
        <v>2023</v>
      </c>
      <c r="D198" t="s">
        <v>267</v>
      </c>
      <c r="E198">
        <v>0.0070685868461926</v>
      </c>
      <c r="F198">
        <v>0.0038378509932858</v>
      </c>
      <c r="G198">
        <v>0.0038652837</v>
      </c>
      <c r="H198">
        <v>4.106105832446275</v>
      </c>
      <c r="I198">
        <v>0.4264983860179719</v>
      </c>
    </row>
    <row r="199" spans="1:9">
      <c r="A199" t="s">
        <v>109</v>
      </c>
      <c r="B199" t="s">
        <v>209</v>
      </c>
      <c r="C199">
        <v>2024</v>
      </c>
      <c r="D199" t="s">
        <v>267</v>
      </c>
      <c r="E199">
        <v>0.0114942528307437</v>
      </c>
      <c r="F199">
        <v>0.0619268365086098</v>
      </c>
      <c r="G199">
        <v>0.0027555774</v>
      </c>
      <c r="H199">
        <v>3.686091140387906</v>
      </c>
      <c r="I199">
        <v>0.512435305637152</v>
      </c>
    </row>
    <row r="200" spans="1:9">
      <c r="A200" t="s">
        <v>110</v>
      </c>
      <c r="B200" t="s">
        <v>210</v>
      </c>
      <c r="C200">
        <v>2021</v>
      </c>
      <c r="D200" t="s">
        <v>262</v>
      </c>
      <c r="E200">
        <v>0.0114942528307437</v>
      </c>
      <c r="F200">
        <v>0.0021464396283221</v>
      </c>
      <c r="G200">
        <v>0.0031560776</v>
      </c>
      <c r="H200">
        <v>0.2286664730393004</v>
      </c>
      <c r="I200">
        <v>1.205598261975269</v>
      </c>
    </row>
    <row r="201" spans="1:9">
      <c r="A201" t="s">
        <v>110</v>
      </c>
      <c r="B201" t="s">
        <v>210</v>
      </c>
      <c r="C201">
        <v>2022</v>
      </c>
      <c r="D201" t="s">
        <v>262</v>
      </c>
      <c r="E201">
        <v>0.0114942528307437</v>
      </c>
      <c r="F201">
        <v>0.0035248775578782</v>
      </c>
      <c r="G201">
        <v>0.003593746</v>
      </c>
      <c r="H201">
        <v>0.2214712759861187</v>
      </c>
      <c r="I201">
        <v>1.1626917340558</v>
      </c>
    </row>
    <row r="202" spans="1:9">
      <c r="A202" t="s">
        <v>110</v>
      </c>
      <c r="B202" t="s">
        <v>210</v>
      </c>
      <c r="C202">
        <v>2023</v>
      </c>
      <c r="D202" t="s">
        <v>262</v>
      </c>
      <c r="E202">
        <v>0.0114942528307437</v>
      </c>
      <c r="F202">
        <v>0.0018519080755909</v>
      </c>
      <c r="G202">
        <v>0.0029792022</v>
      </c>
      <c r="H202">
        <v>0.2544609419447675</v>
      </c>
      <c r="I202">
        <v>1.331400703920361</v>
      </c>
    </row>
    <row r="203" spans="1:9">
      <c r="A203" t="s">
        <v>110</v>
      </c>
      <c r="B203" t="s">
        <v>210</v>
      </c>
      <c r="C203">
        <v>2024</v>
      </c>
      <c r="D203" t="s">
        <v>262</v>
      </c>
      <c r="E203">
        <v>0.122605367253224</v>
      </c>
      <c r="F203">
        <v>0.0017400558378502</v>
      </c>
      <c r="G203">
        <v>0.0051168404</v>
      </c>
      <c r="H203">
        <v>0.3034779375464733</v>
      </c>
      <c r="I203">
        <v>1.317767825547195</v>
      </c>
    </row>
    <row r="204" spans="1:9">
      <c r="A204" t="s">
        <v>111</v>
      </c>
      <c r="B204" t="s">
        <v>211</v>
      </c>
      <c r="C204">
        <v>2021</v>
      </c>
      <c r="D204" t="s">
        <v>265</v>
      </c>
      <c r="E204">
        <v>0</v>
      </c>
      <c r="F204">
        <v>0.0232302645695274</v>
      </c>
      <c r="G204">
        <v>0.0035206252</v>
      </c>
      <c r="H204">
        <v>4.363395798587318</v>
      </c>
      <c r="I204">
        <v>1.85925475020653</v>
      </c>
    </row>
    <row r="205" spans="1:9">
      <c r="A205" t="s">
        <v>111</v>
      </c>
      <c r="B205" t="s">
        <v>211</v>
      </c>
      <c r="C205">
        <v>2022</v>
      </c>
      <c r="D205" t="s">
        <v>265</v>
      </c>
      <c r="E205">
        <v>0</v>
      </c>
      <c r="F205">
        <v>0.0242942094602489</v>
      </c>
      <c r="G205">
        <v>0.0036332188</v>
      </c>
      <c r="H205">
        <v>4.890268428566361</v>
      </c>
      <c r="I205">
        <v>1.624102883219249</v>
      </c>
    </row>
    <row r="206" spans="1:9">
      <c r="A206" t="s">
        <v>111</v>
      </c>
      <c r="B206" t="s">
        <v>211</v>
      </c>
      <c r="C206">
        <v>2023</v>
      </c>
      <c r="D206" t="s">
        <v>265</v>
      </c>
      <c r="E206">
        <v>0.0070685868461926</v>
      </c>
      <c r="F206">
        <v>0.0268590374142215</v>
      </c>
      <c r="G206">
        <v>0.0037794276</v>
      </c>
      <c r="H206">
        <v>4.617033616615561</v>
      </c>
      <c r="I206">
        <v>1.621525770016576</v>
      </c>
    </row>
    <row r="207" spans="1:9">
      <c r="A207" t="s">
        <v>111</v>
      </c>
      <c r="B207" t="s">
        <v>211</v>
      </c>
      <c r="C207">
        <v>2024</v>
      </c>
      <c r="D207" t="s">
        <v>265</v>
      </c>
      <c r="E207">
        <v>0</v>
      </c>
      <c r="F207">
        <v>0.0293807977368289</v>
      </c>
      <c r="G207">
        <v>0.0036332188</v>
      </c>
      <c r="H207">
        <v>4.67957663111368</v>
      </c>
      <c r="I207">
        <v>1.791197296427422</v>
      </c>
    </row>
    <row r="208" spans="1:9">
      <c r="A208" t="s">
        <v>112</v>
      </c>
      <c r="B208" t="s">
        <v>212</v>
      </c>
      <c r="C208">
        <v>2022</v>
      </c>
      <c r="D208" t="s">
        <v>273</v>
      </c>
      <c r="E208">
        <v>0</v>
      </c>
      <c r="F208">
        <v>0.0637912396122918</v>
      </c>
      <c r="G208">
        <v>0.0027822452</v>
      </c>
      <c r="H208">
        <v>2.978239705692157</v>
      </c>
      <c r="I208">
        <v>1.455696202531645</v>
      </c>
    </row>
    <row r="209" spans="1:9">
      <c r="A209" t="s">
        <v>112</v>
      </c>
      <c r="B209" t="s">
        <v>212</v>
      </c>
      <c r="C209">
        <v>2023</v>
      </c>
      <c r="D209" t="s">
        <v>273</v>
      </c>
      <c r="E209">
        <v>0.0114942528307437</v>
      </c>
      <c r="F209">
        <v>0.2654056874587054</v>
      </c>
      <c r="G209">
        <v>0.0028943082</v>
      </c>
      <c r="H209">
        <v>2.171916963088236</v>
      </c>
      <c r="I209">
        <v>2.010629816635662</v>
      </c>
    </row>
    <row r="210" spans="1:9">
      <c r="A210" t="s">
        <v>112</v>
      </c>
      <c r="B210" t="s">
        <v>212</v>
      </c>
      <c r="C210">
        <v>2024</v>
      </c>
      <c r="D210" t="s">
        <v>273</v>
      </c>
      <c r="E210">
        <v>0</v>
      </c>
      <c r="F210">
        <v>0.0394365720979529</v>
      </c>
      <c r="G210">
        <v>0.0031088032</v>
      </c>
      <c r="H210">
        <v>1.972875622544608</v>
      </c>
      <c r="I210">
        <v>1.894682763935268</v>
      </c>
    </row>
    <row r="211" spans="1:9">
      <c r="A211" t="s">
        <v>112</v>
      </c>
      <c r="B211" t="s">
        <v>212</v>
      </c>
      <c r="C211">
        <v>2025</v>
      </c>
      <c r="D211" t="s">
        <v>273</v>
      </c>
      <c r="E211">
        <v>0.0114942528307437</v>
      </c>
      <c r="F211">
        <v>0.0840386926145822</v>
      </c>
      <c r="G211">
        <v>0.003660031</v>
      </c>
      <c r="H211">
        <v>1.7420840262885</v>
      </c>
      <c r="I211">
        <v>1.882956338769068</v>
      </c>
    </row>
    <row r="212" spans="1:9">
      <c r="A212" t="s">
        <v>113</v>
      </c>
      <c r="B212" t="s">
        <v>213</v>
      </c>
      <c r="C212">
        <v>2023</v>
      </c>
      <c r="D212" t="s">
        <v>267</v>
      </c>
      <c r="E212">
        <v>0.0114942528307437</v>
      </c>
      <c r="F212">
        <v>0.0021745530223556</v>
      </c>
      <c r="G212">
        <v>0.0038535749</v>
      </c>
      <c r="H212">
        <v>0.2532223611050095</v>
      </c>
      <c r="I212">
        <v>0</v>
      </c>
    </row>
    <row r="213" spans="1:9">
      <c r="A213" t="s">
        <v>113</v>
      </c>
      <c r="B213" t="s">
        <v>213</v>
      </c>
      <c r="C213">
        <v>2024</v>
      </c>
      <c r="D213" t="s">
        <v>267</v>
      </c>
      <c r="E213">
        <v>0.0114942528307437</v>
      </c>
      <c r="F213">
        <v>0.0007952757241146</v>
      </c>
      <c r="G213">
        <v>0.0037045048</v>
      </c>
      <c r="H213">
        <v>0.2691691154549667</v>
      </c>
      <c r="I213">
        <v>0</v>
      </c>
    </row>
    <row r="214" spans="1:9">
      <c r="A214" t="s">
        <v>113</v>
      </c>
      <c r="B214" t="s">
        <v>213</v>
      </c>
      <c r="C214">
        <v>2025</v>
      </c>
      <c r="D214" t="s">
        <v>267</v>
      </c>
      <c r="E214">
        <v>0.0114942528307437</v>
      </c>
      <c r="F214">
        <v>0.0022113002801689</v>
      </c>
      <c r="G214">
        <v>0.0038535749</v>
      </c>
      <c r="H214">
        <v>0.2739551259226052</v>
      </c>
      <c r="I214">
        <v>0</v>
      </c>
    </row>
    <row r="215" spans="1:9">
      <c r="A215" t="s">
        <v>114</v>
      </c>
      <c r="B215" t="s">
        <v>214</v>
      </c>
      <c r="C215">
        <v>2021</v>
      </c>
      <c r="D215" t="s">
        <v>265</v>
      </c>
      <c r="E215">
        <v>0.0114942528307437</v>
      </c>
      <c r="F215">
        <v>0.0079346500664812</v>
      </c>
      <c r="G215">
        <v>0.0036332188</v>
      </c>
      <c r="H215">
        <v>5.096349908390525</v>
      </c>
      <c r="I215">
        <v>1.880423645759087</v>
      </c>
    </row>
    <row r="216" spans="1:9">
      <c r="A216" t="s">
        <v>114</v>
      </c>
      <c r="B216" t="s">
        <v>214</v>
      </c>
      <c r="C216">
        <v>2022</v>
      </c>
      <c r="D216" t="s">
        <v>265</v>
      </c>
      <c r="E216">
        <v>0.0114942528307437</v>
      </c>
      <c r="F216">
        <v>0.0164555795436802</v>
      </c>
      <c r="G216">
        <v>0.0036332188</v>
      </c>
      <c r="H216">
        <v>6.574316404360324</v>
      </c>
      <c r="I216">
        <v>1.524779808071513</v>
      </c>
    </row>
    <row r="217" spans="1:9">
      <c r="A217" t="s">
        <v>114</v>
      </c>
      <c r="B217" t="s">
        <v>214</v>
      </c>
      <c r="C217">
        <v>2023</v>
      </c>
      <c r="D217" t="s">
        <v>265</v>
      </c>
      <c r="E217">
        <v>0.0114942528307437</v>
      </c>
      <c r="F217">
        <v>0.0374525045388707</v>
      </c>
      <c r="G217">
        <v>0.0036332188</v>
      </c>
      <c r="H217">
        <v>7.262443443517441</v>
      </c>
      <c r="I217">
        <v>2.341768861575023</v>
      </c>
    </row>
    <row r="218" spans="1:9">
      <c r="A218" t="s">
        <v>114</v>
      </c>
      <c r="B218" t="s">
        <v>214</v>
      </c>
      <c r="C218">
        <v>2024</v>
      </c>
      <c r="D218" t="s">
        <v>265</v>
      </c>
      <c r="E218">
        <v>0.0114942528307437</v>
      </c>
      <c r="F218">
        <v>0.0213123282919105</v>
      </c>
      <c r="G218">
        <v>0.0036332188</v>
      </c>
      <c r="H218">
        <v>8.131845732558869</v>
      </c>
      <c r="I218">
        <v>2.370628730068136</v>
      </c>
    </row>
    <row r="219" spans="1:9">
      <c r="A219" t="s">
        <v>115</v>
      </c>
      <c r="B219" t="s">
        <v>215</v>
      </c>
      <c r="C219">
        <v>2022</v>
      </c>
      <c r="D219" t="s">
        <v>267</v>
      </c>
      <c r="E219">
        <v>0</v>
      </c>
      <c r="F219">
        <v>0.0184834321380026</v>
      </c>
      <c r="G219">
        <v>0.0025438464</v>
      </c>
      <c r="H219">
        <v>1.61274734110911</v>
      </c>
      <c r="I219">
        <v>1.518333853916007</v>
      </c>
    </row>
    <row r="220" spans="1:9">
      <c r="A220" t="s">
        <v>115</v>
      </c>
      <c r="B220" t="s">
        <v>215</v>
      </c>
      <c r="C220">
        <v>2023</v>
      </c>
      <c r="D220" t="s">
        <v>267</v>
      </c>
      <c r="E220">
        <v>0</v>
      </c>
      <c r="F220">
        <v>0.0058996476280564</v>
      </c>
      <c r="G220">
        <v>0.0025976868</v>
      </c>
      <c r="H220">
        <v>1.859220709974106</v>
      </c>
      <c r="I220">
        <v>1.350676259250531</v>
      </c>
    </row>
    <row r="221" spans="1:9">
      <c r="A221" t="s">
        <v>115</v>
      </c>
      <c r="B221" t="s">
        <v>215</v>
      </c>
      <c r="C221">
        <v>2024</v>
      </c>
      <c r="D221" t="s">
        <v>267</v>
      </c>
      <c r="E221">
        <v>0</v>
      </c>
      <c r="F221">
        <v>0.0028797008216069</v>
      </c>
      <c r="G221">
        <v>0.0025976868</v>
      </c>
      <c r="H221">
        <v>2.466742939452028</v>
      </c>
      <c r="I221">
        <v>1.346957430380351</v>
      </c>
    </row>
    <row r="222" spans="1:9">
      <c r="A222" t="s">
        <v>115</v>
      </c>
      <c r="B222" t="s">
        <v>215</v>
      </c>
      <c r="C222">
        <v>2025</v>
      </c>
      <c r="D222" t="s">
        <v>267</v>
      </c>
      <c r="E222">
        <v>0</v>
      </c>
      <c r="F222">
        <v>0.0122317650326982</v>
      </c>
      <c r="G222">
        <v>0.0027023365</v>
      </c>
      <c r="H222">
        <v>2.320300751945698</v>
      </c>
      <c r="I222">
        <v>1.355876365513089</v>
      </c>
    </row>
    <row r="223" spans="1:9">
      <c r="A223" t="s">
        <v>116</v>
      </c>
      <c r="B223" t="s">
        <v>216</v>
      </c>
      <c r="C223">
        <v>2022</v>
      </c>
      <c r="D223" t="s">
        <v>276</v>
      </c>
      <c r="E223">
        <v>0</v>
      </c>
      <c r="F223">
        <v>0.0319886808029654</v>
      </c>
      <c r="G223">
        <v>0.0029884598</v>
      </c>
      <c r="H223">
        <v>2.402516882493481</v>
      </c>
      <c r="I223">
        <v>1.885114609223971</v>
      </c>
    </row>
    <row r="224" spans="1:9">
      <c r="A224" t="s">
        <v>116</v>
      </c>
      <c r="B224" t="s">
        <v>216</v>
      </c>
      <c r="C224">
        <v>2023</v>
      </c>
      <c r="D224" t="s">
        <v>276</v>
      </c>
      <c r="E224">
        <v>0</v>
      </c>
      <c r="F224">
        <v>0.0566640230369866</v>
      </c>
      <c r="G224">
        <v>0.0031088032</v>
      </c>
      <c r="H224">
        <v>2.443214185225933</v>
      </c>
      <c r="I224">
        <v>1.459823615874571</v>
      </c>
    </row>
    <row r="225" spans="1:9">
      <c r="A225" t="s">
        <v>116</v>
      </c>
      <c r="B225" t="s">
        <v>216</v>
      </c>
      <c r="C225">
        <v>2024</v>
      </c>
      <c r="D225" t="s">
        <v>276</v>
      </c>
      <c r="E225">
        <v>0</v>
      </c>
      <c r="F225">
        <v>0.0605810694201028</v>
      </c>
      <c r="G225">
        <v>0.0029026459</v>
      </c>
      <c r="H225">
        <v>2.03498578380493</v>
      </c>
      <c r="I225">
        <v>1.483023543990086</v>
      </c>
    </row>
    <row r="226" spans="1:9">
      <c r="A226" t="s">
        <v>116</v>
      </c>
      <c r="B226" t="s">
        <v>216</v>
      </c>
      <c r="C226">
        <v>2025</v>
      </c>
      <c r="D226" t="s">
        <v>276</v>
      </c>
      <c r="E226">
        <v>0</v>
      </c>
      <c r="F226">
        <v>0.0101611031909546</v>
      </c>
      <c r="G226">
        <v>0.0029026459</v>
      </c>
      <c r="H226">
        <v>2.184570820140714</v>
      </c>
      <c r="I226">
        <v>1.253514938488576</v>
      </c>
    </row>
    <row r="227" spans="1:9">
      <c r="A227" t="s">
        <v>117</v>
      </c>
      <c r="B227" t="s">
        <v>217</v>
      </c>
      <c r="C227">
        <v>2021</v>
      </c>
      <c r="D227" t="s">
        <v>274</v>
      </c>
      <c r="E227">
        <v>0.0114942528307437</v>
      </c>
      <c r="F227">
        <v>0.0130452245225283</v>
      </c>
      <c r="G227">
        <v>0.0038065729</v>
      </c>
      <c r="H227">
        <v>11.49978088926933</v>
      </c>
      <c r="I227">
        <v>1.901121444201313</v>
      </c>
    </row>
    <row r="228" spans="1:9">
      <c r="A228" t="s">
        <v>117</v>
      </c>
      <c r="B228" t="s">
        <v>217</v>
      </c>
      <c r="C228">
        <v>2022</v>
      </c>
      <c r="D228" t="s">
        <v>274</v>
      </c>
      <c r="E228">
        <v>0.0114942528307437</v>
      </c>
      <c r="F228">
        <v>0.1572677221392245</v>
      </c>
      <c r="G228">
        <v>0.0038065729</v>
      </c>
      <c r="H228">
        <v>10.7263273404477</v>
      </c>
      <c r="I228">
        <v>2.226579866624325</v>
      </c>
    </row>
    <row r="229" spans="1:9">
      <c r="A229" t="s">
        <v>117</v>
      </c>
      <c r="B229" t="s">
        <v>217</v>
      </c>
      <c r="C229">
        <v>2023</v>
      </c>
      <c r="D229" t="s">
        <v>274</v>
      </c>
      <c r="E229">
        <v>0.0114942528307437</v>
      </c>
      <c r="F229">
        <v>0.1152850196503631</v>
      </c>
      <c r="G229">
        <v>0.0038065729</v>
      </c>
      <c r="H229">
        <v>11.94689315128524</v>
      </c>
      <c r="I229">
        <v>2.2630971280127</v>
      </c>
    </row>
    <row r="230" spans="1:9">
      <c r="A230" t="s">
        <v>117</v>
      </c>
      <c r="B230" t="s">
        <v>217</v>
      </c>
      <c r="C230">
        <v>2024</v>
      </c>
      <c r="D230" t="s">
        <v>274</v>
      </c>
      <c r="E230">
        <v>0.0114942528307437</v>
      </c>
      <c r="F230">
        <v>0.1297104763364022</v>
      </c>
      <c r="G230">
        <v>0.0038065729</v>
      </c>
      <c r="H230">
        <v>12.47747965646385</v>
      </c>
      <c r="I230">
        <v>2.810485736314572</v>
      </c>
    </row>
    <row r="231" spans="1:9">
      <c r="A231" t="s">
        <v>118</v>
      </c>
      <c r="B231" t="s">
        <v>218</v>
      </c>
      <c r="C231">
        <v>2022</v>
      </c>
      <c r="D231" t="s">
        <v>267</v>
      </c>
      <c r="E231">
        <v>0.0225125600894292</v>
      </c>
      <c r="F231">
        <v>0.000709946257993</v>
      </c>
      <c r="G231">
        <v>0.0044135735</v>
      </c>
      <c r="H231">
        <v>9.084821750213813</v>
      </c>
      <c r="I231">
        <v>0.0076897358742895</v>
      </c>
    </row>
    <row r="232" spans="1:9">
      <c r="A232" t="s">
        <v>118</v>
      </c>
      <c r="B232" t="s">
        <v>218</v>
      </c>
      <c r="C232">
        <v>2023</v>
      </c>
      <c r="D232" t="s">
        <v>267</v>
      </c>
      <c r="E232">
        <v>0.0225125600894292</v>
      </c>
      <c r="F232">
        <v>0.0008940886394294</v>
      </c>
      <c r="G232">
        <v>0.0044135735</v>
      </c>
      <c r="H232">
        <v>8.03553499184097</v>
      </c>
      <c r="I232">
        <v>0.0167238157538451</v>
      </c>
    </row>
    <row r="233" spans="1:9">
      <c r="A233" t="s">
        <v>118</v>
      </c>
      <c r="B233" t="s">
        <v>218</v>
      </c>
      <c r="C233">
        <v>2024</v>
      </c>
      <c r="D233" t="s">
        <v>267</v>
      </c>
      <c r="E233">
        <v>0.0225125600894292</v>
      </c>
      <c r="F233">
        <v>1.846724415149764E-08</v>
      </c>
      <c r="G233">
        <v>0.004500377</v>
      </c>
      <c r="H233">
        <v>10.41761943712796</v>
      </c>
      <c r="I233">
        <v>0.0013849315708346</v>
      </c>
    </row>
    <row r="234" spans="1:9">
      <c r="A234" t="s">
        <v>118</v>
      </c>
      <c r="B234" t="s">
        <v>218</v>
      </c>
      <c r="C234">
        <v>2025</v>
      </c>
      <c r="D234" t="s">
        <v>267</v>
      </c>
      <c r="E234">
        <v>0.0225125600894292</v>
      </c>
      <c r="F234">
        <v>2.692788720667125E-09</v>
      </c>
      <c r="G234">
        <v>0.004681318</v>
      </c>
      <c r="H234">
        <v>8.128089887609054</v>
      </c>
      <c r="I234">
        <v>0.0009039909642466</v>
      </c>
    </row>
    <row r="235" spans="1:9">
      <c r="A235" t="s">
        <v>119</v>
      </c>
      <c r="B235" t="s">
        <v>219</v>
      </c>
      <c r="C235">
        <v>2021</v>
      </c>
      <c r="D235" t="s">
        <v>265</v>
      </c>
      <c r="E235">
        <v>0.0114942528307437</v>
      </c>
      <c r="F235">
        <v>0.0006184950478578</v>
      </c>
      <c r="G235">
        <v>0.004163428</v>
      </c>
      <c r="H235">
        <v>16.24613061833385</v>
      </c>
      <c r="I235">
        <v>0.111091536607436</v>
      </c>
    </row>
    <row r="236" spans="1:9">
      <c r="A236" t="s">
        <v>119</v>
      </c>
      <c r="B236" t="s">
        <v>219</v>
      </c>
      <c r="C236">
        <v>2022</v>
      </c>
      <c r="D236" t="s">
        <v>265</v>
      </c>
      <c r="E236">
        <v>0.011641582493515</v>
      </c>
      <c r="F236">
        <v>0.4062406448769623</v>
      </c>
      <c r="G236">
        <v>0.0046866825</v>
      </c>
      <c r="H236">
        <v>5.081123730723129</v>
      </c>
      <c r="I236">
        <v>0.2115214814696968</v>
      </c>
    </row>
    <row r="237" spans="1:9">
      <c r="A237" t="s">
        <v>119</v>
      </c>
      <c r="B237" t="s">
        <v>219</v>
      </c>
      <c r="C237">
        <v>2023</v>
      </c>
      <c r="D237" t="s">
        <v>265</v>
      </c>
      <c r="E237">
        <v>0.0114942528307437</v>
      </c>
      <c r="F237">
        <v>0.0020476237044797</v>
      </c>
      <c r="G237">
        <v>0.004163428</v>
      </c>
      <c r="H237">
        <v>9.146294479782838</v>
      </c>
      <c r="I237">
        <v>0.2430925519690797</v>
      </c>
    </row>
    <row r="238" spans="1:9">
      <c r="A238" t="s">
        <v>119</v>
      </c>
      <c r="B238" t="s">
        <v>219</v>
      </c>
      <c r="C238">
        <v>2024</v>
      </c>
      <c r="D238" t="s">
        <v>265</v>
      </c>
      <c r="E238">
        <v>0.0114942528307437</v>
      </c>
      <c r="F238">
        <v>0.0125708509835863</v>
      </c>
      <c r="G238">
        <v>0.004163428</v>
      </c>
      <c r="H238">
        <v>11.84518134088739</v>
      </c>
      <c r="I238">
        <v>0.2686202686202686</v>
      </c>
    </row>
    <row r="239" spans="1:9">
      <c r="A239" t="s">
        <v>120</v>
      </c>
      <c r="B239" t="s">
        <v>220</v>
      </c>
      <c r="C239">
        <v>2021</v>
      </c>
      <c r="D239" t="s">
        <v>263</v>
      </c>
      <c r="E239">
        <v>0</v>
      </c>
      <c r="F239">
        <v>0.0085788368092729</v>
      </c>
      <c r="G239">
        <v>0.0026488714</v>
      </c>
      <c r="H239">
        <v>3.542155435540186</v>
      </c>
      <c r="I239">
        <v>0.8669076052796983</v>
      </c>
    </row>
    <row r="240" spans="1:9">
      <c r="A240" t="s">
        <v>120</v>
      </c>
      <c r="B240" t="s">
        <v>220</v>
      </c>
      <c r="C240">
        <v>2022</v>
      </c>
      <c r="D240" t="s">
        <v>263</v>
      </c>
      <c r="E240">
        <v>0</v>
      </c>
      <c r="F240">
        <v>0.0088130485264491</v>
      </c>
      <c r="G240">
        <v>0.0038345759</v>
      </c>
      <c r="H240">
        <v>5.048268300714246</v>
      </c>
      <c r="I240">
        <v>0.6673262159987824</v>
      </c>
    </row>
    <row r="241" spans="1:9">
      <c r="A241" t="s">
        <v>120</v>
      </c>
      <c r="B241" t="s">
        <v>220</v>
      </c>
      <c r="C241">
        <v>2023</v>
      </c>
      <c r="D241" t="s">
        <v>263</v>
      </c>
      <c r="E241">
        <v>0</v>
      </c>
      <c r="F241">
        <v>0.0467159430248699</v>
      </c>
      <c r="G241">
        <v>0.003452657</v>
      </c>
      <c r="H241">
        <v>4.286900309986942</v>
      </c>
      <c r="I241">
        <v>0.9327851840025544</v>
      </c>
    </row>
    <row r="242" spans="1:9">
      <c r="A242" t="s">
        <v>120</v>
      </c>
      <c r="B242" t="s">
        <v>220</v>
      </c>
      <c r="C242">
        <v>2024</v>
      </c>
      <c r="D242" t="s">
        <v>263</v>
      </c>
      <c r="E242">
        <v>0.0070685868461926</v>
      </c>
      <c r="F242">
        <v>0.0029210657189547</v>
      </c>
      <c r="G242">
        <v>0.0037704685</v>
      </c>
      <c r="H242">
        <v>4.521382425607193</v>
      </c>
      <c r="I242">
        <v>0.8013084878975666</v>
      </c>
    </row>
    <row r="243" spans="1:9">
      <c r="A243" t="s">
        <v>121</v>
      </c>
      <c r="B243" t="s">
        <v>221</v>
      </c>
      <c r="C243">
        <v>2022</v>
      </c>
      <c r="D243" t="s">
        <v>267</v>
      </c>
      <c r="E243">
        <v>0.0114942528307437</v>
      </c>
      <c r="F243">
        <v>0.0021280664594224</v>
      </c>
      <c r="G243">
        <v>0.004179111</v>
      </c>
      <c r="H243">
        <v>7.579350661212577</v>
      </c>
      <c r="I243">
        <v>0.3678951855988279</v>
      </c>
    </row>
    <row r="244" spans="1:9">
      <c r="A244" t="s">
        <v>121</v>
      </c>
      <c r="B244" t="s">
        <v>221</v>
      </c>
      <c r="C244">
        <v>2023</v>
      </c>
      <c r="D244" t="s">
        <v>267</v>
      </c>
      <c r="E244">
        <v>0.0114942528307437</v>
      </c>
      <c r="F244">
        <v>0.0256905092639583</v>
      </c>
      <c r="G244">
        <v>0.004163428</v>
      </c>
      <c r="H244">
        <v>8.97137778465803</v>
      </c>
      <c r="I244">
        <v>0.2907774593522546</v>
      </c>
    </row>
    <row r="245" spans="1:9">
      <c r="A245" t="s">
        <v>121</v>
      </c>
      <c r="B245" t="s">
        <v>221</v>
      </c>
      <c r="C245">
        <v>2024</v>
      </c>
      <c r="D245" t="s">
        <v>267</v>
      </c>
      <c r="E245">
        <v>0.0114942528307437</v>
      </c>
      <c r="F245">
        <v>0.0111161699493626</v>
      </c>
      <c r="G245">
        <v>0.004163428</v>
      </c>
      <c r="H245">
        <v>9.911415109261132</v>
      </c>
      <c r="I245">
        <v>0.2500288665323286</v>
      </c>
    </row>
    <row r="246" spans="1:9">
      <c r="A246" t="s">
        <v>121</v>
      </c>
      <c r="B246" t="s">
        <v>221</v>
      </c>
      <c r="C246">
        <v>2025</v>
      </c>
      <c r="D246" t="s">
        <v>267</v>
      </c>
      <c r="E246">
        <v>0.0114942528307437</v>
      </c>
      <c r="F246">
        <v>0.013694751372304</v>
      </c>
      <c r="G246">
        <v>0.004330881</v>
      </c>
      <c r="H246">
        <v>8.61990401665488</v>
      </c>
      <c r="I246">
        <v>0.1763950634536609</v>
      </c>
    </row>
    <row r="247" spans="1:9">
      <c r="A247" t="s">
        <v>122</v>
      </c>
      <c r="B247" t="s">
        <v>222</v>
      </c>
      <c r="C247">
        <v>2021</v>
      </c>
      <c r="D247" t="s">
        <v>260</v>
      </c>
      <c r="E247">
        <v>0.0114942528307437</v>
      </c>
      <c r="F247">
        <v>0.4255812664306654</v>
      </c>
      <c r="G247">
        <v>0.010372023</v>
      </c>
      <c r="H247">
        <v>2.361614164238361</v>
      </c>
      <c r="I247">
        <v>2.279729058856455</v>
      </c>
    </row>
    <row r="248" spans="1:9">
      <c r="A248" t="s">
        <v>122</v>
      </c>
      <c r="B248" t="s">
        <v>222</v>
      </c>
      <c r="C248">
        <v>2022</v>
      </c>
      <c r="D248" t="s">
        <v>260</v>
      </c>
      <c r="E248">
        <v>0.2888888965050379</v>
      </c>
      <c r="F248">
        <v>0.7190283801015557</v>
      </c>
      <c r="G248">
        <v>0.2252304</v>
      </c>
      <c r="H248">
        <v>-1.106243790598289</v>
      </c>
      <c r="I248">
        <v>-6.385357068281495</v>
      </c>
    </row>
    <row r="249" spans="1:9">
      <c r="A249" t="s">
        <v>122</v>
      </c>
      <c r="B249" t="s">
        <v>222</v>
      </c>
      <c r="C249">
        <v>2023</v>
      </c>
      <c r="D249" t="s">
        <v>260</v>
      </c>
      <c r="E249">
        <v>0</v>
      </c>
      <c r="F249">
        <v>1.185201593391196E-08</v>
      </c>
      <c r="G249">
        <v>0.009080912999999999</v>
      </c>
      <c r="H249">
        <v>4.325267413116803</v>
      </c>
      <c r="I249">
        <v>1.036353818894655</v>
      </c>
    </row>
    <row r="250" spans="1:9">
      <c r="A250" t="s">
        <v>122</v>
      </c>
      <c r="B250" t="s">
        <v>222</v>
      </c>
      <c r="C250">
        <v>2024</v>
      </c>
      <c r="D250" t="s">
        <v>260</v>
      </c>
      <c r="E250">
        <v>0.0550394157568613</v>
      </c>
      <c r="F250">
        <v>9.269878444966285E-05</v>
      </c>
      <c r="G250">
        <v>0.019198617</v>
      </c>
      <c r="H250">
        <v>6.493242780761856</v>
      </c>
      <c r="I250">
        <v>0.3975910236673822</v>
      </c>
    </row>
    <row r="251" spans="1:9">
      <c r="A251" t="s">
        <v>123</v>
      </c>
      <c r="B251" t="s">
        <v>223</v>
      </c>
      <c r="C251">
        <v>2021</v>
      </c>
      <c r="D251" t="s">
        <v>260</v>
      </c>
      <c r="E251">
        <v>0.2961462922394275</v>
      </c>
      <c r="F251">
        <v>0.007697732711699</v>
      </c>
      <c r="G251">
        <v>0.123232186</v>
      </c>
      <c r="H251">
        <v>0.0852186449820817</v>
      </c>
      <c r="I251">
        <v>5.116473804287503</v>
      </c>
    </row>
    <row r="252" spans="1:9">
      <c r="A252" t="s">
        <v>123</v>
      </c>
      <c r="B252" t="s">
        <v>223</v>
      </c>
      <c r="C252">
        <v>2022</v>
      </c>
      <c r="D252" t="s">
        <v>260</v>
      </c>
      <c r="E252">
        <v>0.0781609204908212</v>
      </c>
      <c r="F252">
        <v>0.1648236836907506</v>
      </c>
      <c r="G252">
        <v>0.011343715</v>
      </c>
      <c r="H252">
        <v>0.1705104847871242</v>
      </c>
      <c r="I252">
        <v>198.5906314239449</v>
      </c>
    </row>
    <row r="253" spans="1:9">
      <c r="A253" t="s">
        <v>123</v>
      </c>
      <c r="B253" t="s">
        <v>223</v>
      </c>
      <c r="C253">
        <v>2023</v>
      </c>
      <c r="D253" t="s">
        <v>260</v>
      </c>
      <c r="E253">
        <v>0</v>
      </c>
      <c r="F253">
        <v>2.550996200448841E-10</v>
      </c>
      <c r="G253">
        <v>0.0033277248</v>
      </c>
      <c r="H253">
        <v>0.8745295089370864</v>
      </c>
      <c r="I253">
        <v>46.73735983537601</v>
      </c>
    </row>
    <row r="254" spans="1:9">
      <c r="A254" t="s">
        <v>123</v>
      </c>
      <c r="B254" t="s">
        <v>223</v>
      </c>
      <c r="C254">
        <v>2024</v>
      </c>
      <c r="D254" t="s">
        <v>260</v>
      </c>
      <c r="E254">
        <v>0</v>
      </c>
      <c r="F254">
        <v>0.0008780370879702</v>
      </c>
      <c r="G254">
        <v>0.0033277248</v>
      </c>
      <c r="H254">
        <v>1.178019992049538</v>
      </c>
      <c r="I254">
        <v>9.190494998382947</v>
      </c>
    </row>
    <row r="255" spans="1:9">
      <c r="A255" t="s">
        <v>124</v>
      </c>
      <c r="B255" t="s">
        <v>224</v>
      </c>
      <c r="C255">
        <v>2021</v>
      </c>
      <c r="D255" t="s">
        <v>270</v>
      </c>
      <c r="E255">
        <v>0.0114942528307437</v>
      </c>
      <c r="F255">
        <v>0.0155825695378445</v>
      </c>
      <c r="G255">
        <v>0.0038065729</v>
      </c>
      <c r="H255">
        <v>7.275697463778651</v>
      </c>
      <c r="I255">
        <v>0.9712066465235448</v>
      </c>
    </row>
    <row r="256" spans="1:9">
      <c r="A256" t="s">
        <v>124</v>
      </c>
      <c r="B256" t="s">
        <v>224</v>
      </c>
      <c r="C256">
        <v>2022</v>
      </c>
      <c r="D256" t="s">
        <v>270</v>
      </c>
      <c r="E256">
        <v>0.0114942528307437</v>
      </c>
      <c r="F256">
        <v>0.1630798261616274</v>
      </c>
      <c r="G256">
        <v>0.00485509</v>
      </c>
      <c r="H256">
        <v>4.41160585408477</v>
      </c>
      <c r="I256">
        <v>0.6908022808049957</v>
      </c>
    </row>
    <row r="257" spans="1:9">
      <c r="A257" t="s">
        <v>124</v>
      </c>
      <c r="B257" t="s">
        <v>224</v>
      </c>
      <c r="C257">
        <v>2023</v>
      </c>
      <c r="D257" t="s">
        <v>270</v>
      </c>
      <c r="E257">
        <v>0.0114942528307437</v>
      </c>
      <c r="F257">
        <v>0.0122540479480371</v>
      </c>
      <c r="G257">
        <v>0.0040174993</v>
      </c>
      <c r="H257">
        <v>6.328781389305703</v>
      </c>
      <c r="I257">
        <v>0.7063842967609828</v>
      </c>
    </row>
    <row r="258" spans="1:9">
      <c r="A258" t="s">
        <v>124</v>
      </c>
      <c r="B258" t="s">
        <v>224</v>
      </c>
      <c r="C258">
        <v>2024</v>
      </c>
      <c r="D258" t="s">
        <v>270</v>
      </c>
      <c r="E258">
        <v>0.0114942528307437</v>
      </c>
      <c r="F258">
        <v>0.0068162247405281</v>
      </c>
      <c r="G258">
        <v>0.0040174993</v>
      </c>
      <c r="H258">
        <v>10.40199326266214</v>
      </c>
      <c r="I258">
        <v>0.6297719322359626</v>
      </c>
    </row>
    <row r="259" spans="1:9">
      <c r="A259" t="s">
        <v>125</v>
      </c>
      <c r="B259" t="s">
        <v>125</v>
      </c>
      <c r="C259">
        <v>2021</v>
      </c>
      <c r="D259" t="s">
        <v>277</v>
      </c>
      <c r="E259">
        <v>0.0114942528307437</v>
      </c>
      <c r="F259">
        <v>0.0685449610341025</v>
      </c>
      <c r="G259">
        <v>0.014032639</v>
      </c>
      <c r="H259">
        <v>1.497300761299969</v>
      </c>
      <c r="I259">
        <v>0.5807662673072981</v>
      </c>
    </row>
    <row r="260" spans="1:9">
      <c r="A260" t="s">
        <v>125</v>
      </c>
      <c r="B260" t="s">
        <v>125</v>
      </c>
      <c r="C260">
        <v>2022</v>
      </c>
      <c r="D260" t="s">
        <v>277</v>
      </c>
      <c r="E260">
        <v>0.2222222288449605</v>
      </c>
      <c r="F260">
        <v>0.0498761392189568</v>
      </c>
      <c r="G260">
        <v>0.09943968</v>
      </c>
      <c r="H260">
        <v>0.4639263272414381</v>
      </c>
      <c r="I260">
        <v>1.519407000915236</v>
      </c>
    </row>
    <row r="261" spans="1:9">
      <c r="A261" t="s">
        <v>125</v>
      </c>
      <c r="B261" t="s">
        <v>125</v>
      </c>
      <c r="C261">
        <v>2023</v>
      </c>
      <c r="D261" t="s">
        <v>277</v>
      </c>
      <c r="E261">
        <v>0.0114942528307437</v>
      </c>
      <c r="F261">
        <v>0.0020608788315184</v>
      </c>
      <c r="G261">
        <v>0.0176635</v>
      </c>
      <c r="H261">
        <v>0.3012497101545223</v>
      </c>
      <c r="I261">
        <v>1.359302406738402</v>
      </c>
    </row>
    <row r="262" spans="1:9">
      <c r="A262" t="s">
        <v>125</v>
      </c>
      <c r="B262" t="s">
        <v>125</v>
      </c>
      <c r="C262">
        <v>2024</v>
      </c>
      <c r="D262" t="s">
        <v>277</v>
      </c>
      <c r="E262">
        <v>0.2237451262772083</v>
      </c>
      <c r="F262">
        <v>0.005354202659595</v>
      </c>
      <c r="G262">
        <v>0.20180035</v>
      </c>
      <c r="H262">
        <v>0.0726875636416711</v>
      </c>
      <c r="I262">
        <v>5.668371481055125</v>
      </c>
    </row>
    <row r="263" spans="1:9">
      <c r="A263" t="s">
        <v>126</v>
      </c>
      <c r="B263" t="s">
        <v>225</v>
      </c>
      <c r="C263">
        <v>2022</v>
      </c>
      <c r="D263" t="s">
        <v>274</v>
      </c>
      <c r="E263">
        <v>0.0114942528307437</v>
      </c>
      <c r="F263">
        <v>0.0072460966997858</v>
      </c>
      <c r="G263">
        <v>0.0037794276</v>
      </c>
      <c r="H263">
        <v>6.265489089965898</v>
      </c>
      <c r="I263">
        <v>0.826320266998233</v>
      </c>
    </row>
    <row r="264" spans="1:9">
      <c r="A264" t="s">
        <v>126</v>
      </c>
      <c r="B264" t="s">
        <v>225</v>
      </c>
      <c r="C264">
        <v>2023</v>
      </c>
      <c r="D264" t="s">
        <v>274</v>
      </c>
      <c r="E264">
        <v>0.0114942528307437</v>
      </c>
      <c r="F264">
        <v>0.0429257970940385</v>
      </c>
      <c r="G264">
        <v>0.0037064818</v>
      </c>
      <c r="H264">
        <v>6.290387478327546</v>
      </c>
      <c r="I264">
        <v>0.8671808054841472</v>
      </c>
    </row>
    <row r="265" spans="1:9">
      <c r="A265" t="s">
        <v>126</v>
      </c>
      <c r="B265" t="s">
        <v>225</v>
      </c>
      <c r="C265">
        <v>2024</v>
      </c>
      <c r="D265" t="s">
        <v>274</v>
      </c>
      <c r="E265">
        <v>0.0114942528307437</v>
      </c>
      <c r="F265">
        <v>0.0187580982305678</v>
      </c>
      <c r="G265">
        <v>0.0037064818</v>
      </c>
      <c r="H265">
        <v>5.779302768981292</v>
      </c>
      <c r="I265">
        <v>0.8282744282744282</v>
      </c>
    </row>
    <row r="266" spans="1:9">
      <c r="A266" t="s">
        <v>126</v>
      </c>
      <c r="B266" t="s">
        <v>225</v>
      </c>
      <c r="C266">
        <v>2025</v>
      </c>
      <c r="D266" t="s">
        <v>274</v>
      </c>
      <c r="E266">
        <v>0.0070685868461926</v>
      </c>
      <c r="F266">
        <v>0.0552127617978014</v>
      </c>
      <c r="G266">
        <v>0.0037064818</v>
      </c>
      <c r="H266">
        <v>4.797827512808318</v>
      </c>
      <c r="I266">
        <v>0.8338757284492544</v>
      </c>
    </row>
    <row r="267" spans="1:9">
      <c r="A267" t="s">
        <v>127</v>
      </c>
      <c r="B267" t="s">
        <v>226</v>
      </c>
      <c r="C267">
        <v>2022</v>
      </c>
      <c r="D267" t="s">
        <v>263</v>
      </c>
      <c r="E267">
        <v>0.0114942528307437</v>
      </c>
      <c r="F267">
        <v>0.0032736033993974</v>
      </c>
      <c r="G267">
        <v>0.0040174993</v>
      </c>
      <c r="H267">
        <v>21.59445246548893</v>
      </c>
      <c r="I267">
        <v>0.4445738764467157</v>
      </c>
    </row>
    <row r="268" spans="1:9">
      <c r="A268" t="s">
        <v>127</v>
      </c>
      <c r="B268" t="s">
        <v>226</v>
      </c>
      <c r="C268">
        <v>2023</v>
      </c>
      <c r="D268" t="s">
        <v>263</v>
      </c>
      <c r="E268">
        <v>0.0114942528307437</v>
      </c>
      <c r="F268">
        <v>0.3859642718708419</v>
      </c>
      <c r="G268">
        <v>0.0045224964</v>
      </c>
      <c r="H268">
        <v>16.49979443591423</v>
      </c>
      <c r="I268">
        <v>0.5443645083932853</v>
      </c>
    </row>
    <row r="269" spans="1:9">
      <c r="A269" t="s">
        <v>127</v>
      </c>
      <c r="B269" t="s">
        <v>226</v>
      </c>
      <c r="C269">
        <v>2024</v>
      </c>
      <c r="D269" t="s">
        <v>263</v>
      </c>
      <c r="E269">
        <v>0.0114942528307437</v>
      </c>
      <c r="F269">
        <v>0.0001824802117087</v>
      </c>
      <c r="G269">
        <v>0.004163428</v>
      </c>
      <c r="H269">
        <v>44.19305951040652</v>
      </c>
      <c r="I269">
        <v>0.2572478942714877</v>
      </c>
    </row>
    <row r="270" spans="1:9">
      <c r="A270" t="s">
        <v>127</v>
      </c>
      <c r="B270" t="s">
        <v>226</v>
      </c>
      <c r="C270">
        <v>2025</v>
      </c>
      <c r="D270" t="s">
        <v>263</v>
      </c>
      <c r="E270">
        <v>0.0163820497691631</v>
      </c>
      <c r="F270">
        <v>0.0633377965509611</v>
      </c>
      <c r="G270">
        <v>0.00499136</v>
      </c>
      <c r="H270">
        <v>67.06156432114338</v>
      </c>
      <c r="I270">
        <v>0.1294641168832806</v>
      </c>
    </row>
    <row r="271" spans="1:9">
      <c r="A271" t="s">
        <v>128</v>
      </c>
      <c r="B271" t="s">
        <v>227</v>
      </c>
      <c r="C271">
        <v>2021</v>
      </c>
      <c r="D271" t="s">
        <v>264</v>
      </c>
      <c r="E271">
        <v>0.0114942528307437</v>
      </c>
      <c r="F271">
        <v>0.0034698402762771</v>
      </c>
      <c r="G271">
        <v>0.003047315</v>
      </c>
      <c r="H271">
        <v>3.290005826667733</v>
      </c>
      <c r="I271">
        <v>0.4585766018771709</v>
      </c>
    </row>
    <row r="272" spans="1:9">
      <c r="A272" t="s">
        <v>128</v>
      </c>
      <c r="B272" t="s">
        <v>227</v>
      </c>
      <c r="C272">
        <v>2022</v>
      </c>
      <c r="D272" t="s">
        <v>264</v>
      </c>
      <c r="E272">
        <v>0.0114942528307437</v>
      </c>
      <c r="F272">
        <v>0.0455941794307238</v>
      </c>
      <c r="G272">
        <v>0.0027958278</v>
      </c>
      <c r="H272">
        <v>3.207804689516664</v>
      </c>
      <c r="I272">
        <v>0.4703077078628964</v>
      </c>
    </row>
    <row r="273" spans="1:9">
      <c r="A273" t="s">
        <v>128</v>
      </c>
      <c r="B273" t="s">
        <v>227</v>
      </c>
      <c r="C273">
        <v>2023</v>
      </c>
      <c r="D273" t="s">
        <v>264</v>
      </c>
      <c r="E273">
        <v>0</v>
      </c>
      <c r="F273">
        <v>0.0046438120536493</v>
      </c>
      <c r="G273">
        <v>0.0037157657</v>
      </c>
      <c r="H273">
        <v>3.766211612912192</v>
      </c>
      <c r="I273">
        <v>0.564595967171663</v>
      </c>
    </row>
    <row r="274" spans="1:9">
      <c r="A274" t="s">
        <v>128</v>
      </c>
      <c r="B274" t="s">
        <v>227</v>
      </c>
      <c r="C274">
        <v>2024</v>
      </c>
      <c r="D274" t="s">
        <v>264</v>
      </c>
      <c r="E274">
        <v>0</v>
      </c>
      <c r="F274">
        <v>0.0341608095082814</v>
      </c>
      <c r="G274">
        <v>0.0027958278</v>
      </c>
      <c r="H274">
        <v>3.616980370035209</v>
      </c>
      <c r="I274">
        <v>0.7096671661444853</v>
      </c>
    </row>
    <row r="275" spans="1:9">
      <c r="A275" t="s">
        <v>129</v>
      </c>
      <c r="B275" t="s">
        <v>228</v>
      </c>
      <c r="C275">
        <v>2022</v>
      </c>
      <c r="D275" t="s">
        <v>270</v>
      </c>
      <c r="E275">
        <v>0.0781609204908212</v>
      </c>
      <c r="F275">
        <v>0.3211989425740907</v>
      </c>
      <c r="G275">
        <v>0.0038622976</v>
      </c>
      <c r="H275">
        <v>1.599358765277824</v>
      </c>
      <c r="I275">
        <v>-12.19967845659164</v>
      </c>
    </row>
    <row r="276" spans="1:9">
      <c r="A276" t="s">
        <v>129</v>
      </c>
      <c r="B276" t="s">
        <v>228</v>
      </c>
      <c r="C276">
        <v>2023</v>
      </c>
      <c r="D276" t="s">
        <v>270</v>
      </c>
      <c r="E276">
        <v>0.06666666766007739</v>
      </c>
      <c r="F276">
        <v>0.4486239679929045</v>
      </c>
      <c r="G276">
        <v>0.0032249268</v>
      </c>
      <c r="H276">
        <v>1.94299498497823</v>
      </c>
      <c r="I276">
        <v>84.32525629077345</v>
      </c>
    </row>
    <row r="277" spans="1:9">
      <c r="A277" t="s">
        <v>129</v>
      </c>
      <c r="B277" t="s">
        <v>228</v>
      </c>
      <c r="C277">
        <v>2024</v>
      </c>
      <c r="D277" t="s">
        <v>270</v>
      </c>
      <c r="E277">
        <v>0</v>
      </c>
      <c r="F277">
        <v>7.029004387549673E-05</v>
      </c>
      <c r="G277">
        <v>0.003378866</v>
      </c>
      <c r="H277">
        <v>2.254249451090545</v>
      </c>
      <c r="I277">
        <v>10.69898897058823</v>
      </c>
    </row>
    <row r="278" spans="1:9">
      <c r="A278" t="s">
        <v>129</v>
      </c>
      <c r="B278" t="s">
        <v>228</v>
      </c>
      <c r="C278">
        <v>2025</v>
      </c>
      <c r="D278" t="s">
        <v>270</v>
      </c>
      <c r="E278">
        <v>0</v>
      </c>
      <c r="F278">
        <v>0.0314417959930279</v>
      </c>
      <c r="G278">
        <v>0.003378866</v>
      </c>
      <c r="H278">
        <v>2.722814226020361</v>
      </c>
      <c r="I278">
        <v>5.090411226834874</v>
      </c>
    </row>
    <row r="279" spans="1:9">
      <c r="A279" t="s">
        <v>130</v>
      </c>
      <c r="B279" t="s">
        <v>229</v>
      </c>
      <c r="C279">
        <v>2021</v>
      </c>
      <c r="D279" t="s">
        <v>265</v>
      </c>
      <c r="E279">
        <v>0</v>
      </c>
      <c r="F279">
        <v>0.0184066864939473</v>
      </c>
      <c r="G279">
        <v>0.0026488714</v>
      </c>
      <c r="H279">
        <v>3.724547641605305</v>
      </c>
      <c r="I279">
        <v>2.541918593779218</v>
      </c>
    </row>
    <row r="280" spans="1:9">
      <c r="A280" t="s">
        <v>130</v>
      </c>
      <c r="B280" t="s">
        <v>229</v>
      </c>
      <c r="C280">
        <v>2022</v>
      </c>
      <c r="D280" t="s">
        <v>265</v>
      </c>
      <c r="E280">
        <v>0</v>
      </c>
      <c r="F280">
        <v>0.0175251794246611</v>
      </c>
      <c r="G280">
        <v>0.0035206252</v>
      </c>
      <c r="H280">
        <v>4.023972323775178</v>
      </c>
      <c r="I280">
        <v>2.306490174354189</v>
      </c>
    </row>
    <row r="281" spans="1:9">
      <c r="A281" t="s">
        <v>130</v>
      </c>
      <c r="B281" t="s">
        <v>229</v>
      </c>
      <c r="C281">
        <v>2023</v>
      </c>
      <c r="D281" t="s">
        <v>265</v>
      </c>
      <c r="E281">
        <v>0</v>
      </c>
      <c r="F281">
        <v>0.0265043435232419</v>
      </c>
      <c r="G281">
        <v>0.0026488714</v>
      </c>
      <c r="H281">
        <v>3.698493707317577</v>
      </c>
      <c r="I281">
        <v>2.413716694590066</v>
      </c>
    </row>
    <row r="282" spans="1:9">
      <c r="A282" t="s">
        <v>130</v>
      </c>
      <c r="B282" t="s">
        <v>229</v>
      </c>
      <c r="C282">
        <v>2024</v>
      </c>
      <c r="D282" t="s">
        <v>265</v>
      </c>
      <c r="E282">
        <v>0</v>
      </c>
      <c r="F282">
        <v>0.026476426546911</v>
      </c>
      <c r="G282">
        <v>0.0027555774</v>
      </c>
      <c r="H282">
        <v>3.57818143061636</v>
      </c>
      <c r="I282">
        <v>2.491436173161133</v>
      </c>
    </row>
    <row r="283" spans="1:9">
      <c r="A283" t="s">
        <v>131</v>
      </c>
      <c r="B283" t="s">
        <v>230</v>
      </c>
      <c r="C283">
        <v>2021</v>
      </c>
      <c r="D283" t="s">
        <v>265</v>
      </c>
      <c r="E283">
        <v>0</v>
      </c>
      <c r="F283">
        <v>0.0017404028920773</v>
      </c>
      <c r="G283">
        <v>0.0037157657</v>
      </c>
      <c r="H283">
        <v>4.021796108751976</v>
      </c>
      <c r="I283">
        <v>0.4792424968588489</v>
      </c>
    </row>
    <row r="284" spans="1:9">
      <c r="A284" t="s">
        <v>131</v>
      </c>
      <c r="B284" t="s">
        <v>230</v>
      </c>
      <c r="C284">
        <v>2022</v>
      </c>
      <c r="D284" t="s">
        <v>265</v>
      </c>
      <c r="E284">
        <v>0.0114942528307437</v>
      </c>
      <c r="F284">
        <v>0.0114466459303758</v>
      </c>
      <c r="G284">
        <v>0.0040496695</v>
      </c>
      <c r="H284">
        <v>4.125925747284668</v>
      </c>
      <c r="I284">
        <v>0.364401375691243</v>
      </c>
    </row>
    <row r="285" spans="1:9">
      <c r="A285" t="s">
        <v>131</v>
      </c>
      <c r="B285" t="s">
        <v>230</v>
      </c>
      <c r="C285">
        <v>2023</v>
      </c>
      <c r="D285" t="s">
        <v>265</v>
      </c>
      <c r="E285">
        <v>0.0114942528307437</v>
      </c>
      <c r="F285">
        <v>0.1515833908778517</v>
      </c>
      <c r="G285">
        <v>0.0027023365</v>
      </c>
      <c r="H285">
        <v>1.840012983529995</v>
      </c>
      <c r="I285">
        <v>0.7958860403981396</v>
      </c>
    </row>
    <row r="286" spans="1:9">
      <c r="A286" t="s">
        <v>131</v>
      </c>
      <c r="B286" t="s">
        <v>230</v>
      </c>
      <c r="C286">
        <v>2024</v>
      </c>
      <c r="D286" t="s">
        <v>265</v>
      </c>
      <c r="E286">
        <v>0</v>
      </c>
      <c r="F286">
        <v>0.004851710855039</v>
      </c>
      <c r="G286">
        <v>0.0028249437</v>
      </c>
      <c r="H286">
        <v>2.101406749366785</v>
      </c>
      <c r="I286">
        <v>0.7216194460505878</v>
      </c>
    </row>
    <row r="287" spans="1:9">
      <c r="A287" t="s">
        <v>132</v>
      </c>
      <c r="B287" t="s">
        <v>231</v>
      </c>
      <c r="C287">
        <v>2022</v>
      </c>
      <c r="D287" t="s">
        <v>274</v>
      </c>
      <c r="E287">
        <v>0.0114942528307437</v>
      </c>
      <c r="F287">
        <v>0.0043211547765098</v>
      </c>
      <c r="G287">
        <v>0.0036332188</v>
      </c>
      <c r="H287">
        <v>6.126924247007667</v>
      </c>
      <c r="I287">
        <v>0.6931464508789629</v>
      </c>
    </row>
    <row r="288" spans="1:9">
      <c r="A288" t="s">
        <v>132</v>
      </c>
      <c r="B288" t="s">
        <v>231</v>
      </c>
      <c r="C288">
        <v>2023</v>
      </c>
      <c r="D288" t="s">
        <v>274</v>
      </c>
      <c r="E288">
        <v>0.0114942528307437</v>
      </c>
      <c r="F288">
        <v>0.0174221273459357</v>
      </c>
      <c r="G288">
        <v>0.0036332188</v>
      </c>
      <c r="H288">
        <v>6.238050685404796</v>
      </c>
      <c r="I288">
        <v>0.757295251940056</v>
      </c>
    </row>
    <row r="289" spans="1:9">
      <c r="A289" t="s">
        <v>132</v>
      </c>
      <c r="B289" t="s">
        <v>231</v>
      </c>
      <c r="C289">
        <v>2024</v>
      </c>
      <c r="D289" t="s">
        <v>274</v>
      </c>
      <c r="E289">
        <v>0.0114942528307437</v>
      </c>
      <c r="F289">
        <v>0.0104040190779933</v>
      </c>
      <c r="G289">
        <v>0.0038345759</v>
      </c>
      <c r="H289">
        <v>7.029584625261582</v>
      </c>
      <c r="I289">
        <v>0.6635842978164896</v>
      </c>
    </row>
    <row r="290" spans="1:9">
      <c r="A290" t="s">
        <v>132</v>
      </c>
      <c r="B290" t="s">
        <v>231</v>
      </c>
      <c r="C290">
        <v>2025</v>
      </c>
      <c r="D290" t="s">
        <v>274</v>
      </c>
      <c r="E290">
        <v>0.0114942528307437</v>
      </c>
      <c r="F290">
        <v>0.0146556424891087</v>
      </c>
      <c r="G290">
        <v>0.0038345759</v>
      </c>
      <c r="H290">
        <v>7.094985837383149</v>
      </c>
      <c r="I290">
        <v>0.6818234253633777</v>
      </c>
    </row>
    <row r="291" spans="1:9">
      <c r="A291" t="s">
        <v>133</v>
      </c>
      <c r="B291" t="s">
        <v>232</v>
      </c>
      <c r="C291">
        <v>2022</v>
      </c>
      <c r="D291" t="s">
        <v>261</v>
      </c>
      <c r="E291">
        <v>0.0114942528307437</v>
      </c>
      <c r="F291">
        <v>0.0034668273533523</v>
      </c>
      <c r="G291">
        <v>0.004163887</v>
      </c>
      <c r="H291">
        <v>0.1354696220789173</v>
      </c>
      <c r="I291">
        <v>0.608429164790892</v>
      </c>
    </row>
    <row r="292" spans="1:9">
      <c r="A292" t="s">
        <v>133</v>
      </c>
      <c r="B292" t="s">
        <v>232</v>
      </c>
      <c r="C292">
        <v>2023</v>
      </c>
      <c r="D292" t="s">
        <v>261</v>
      </c>
      <c r="E292">
        <v>0.0114942528307437</v>
      </c>
      <c r="F292">
        <v>0.0018484172828555</v>
      </c>
      <c r="G292">
        <v>0.0040028645</v>
      </c>
      <c r="H292">
        <v>0.135180546304949</v>
      </c>
      <c r="I292">
        <v>0.6818456364422801</v>
      </c>
    </row>
    <row r="293" spans="1:9">
      <c r="A293" t="s">
        <v>133</v>
      </c>
      <c r="B293" t="s">
        <v>232</v>
      </c>
      <c r="C293">
        <v>2024</v>
      </c>
      <c r="D293" t="s">
        <v>261</v>
      </c>
      <c r="E293">
        <v>0.3448275861640771</v>
      </c>
      <c r="F293">
        <v>0.0003399237971903</v>
      </c>
      <c r="G293">
        <v>0.030949205</v>
      </c>
      <c r="H293">
        <v>0.1704897403486442</v>
      </c>
      <c r="I293">
        <v>0.657557479961586</v>
      </c>
    </row>
    <row r="294" spans="1:9">
      <c r="A294" t="s">
        <v>133</v>
      </c>
      <c r="B294" t="s">
        <v>232</v>
      </c>
      <c r="C294">
        <v>2025</v>
      </c>
      <c r="D294" t="s">
        <v>261</v>
      </c>
      <c r="E294">
        <v>0.0114942528307437</v>
      </c>
      <c r="F294">
        <v>0.0033573495348254</v>
      </c>
      <c r="G294">
        <v>0.004163887</v>
      </c>
      <c r="H294">
        <v>0.1577423706660962</v>
      </c>
      <c r="I294">
        <v>0.5407854379021581</v>
      </c>
    </row>
    <row r="295" spans="1:9">
      <c r="A295" t="s">
        <v>134</v>
      </c>
      <c r="B295" t="s">
        <v>233</v>
      </c>
      <c r="C295">
        <v>2022</v>
      </c>
      <c r="D295" t="s">
        <v>278</v>
      </c>
      <c r="E295">
        <v>0.5555555621782938</v>
      </c>
      <c r="F295">
        <v>0.991453756303034</v>
      </c>
      <c r="G295">
        <v>0.97637844</v>
      </c>
      <c r="H295">
        <v>-0.6409667178705126</v>
      </c>
      <c r="I295">
        <v>4.002867262607516</v>
      </c>
    </row>
    <row r="296" spans="1:9">
      <c r="A296" t="s">
        <v>134</v>
      </c>
      <c r="B296" t="s">
        <v>233</v>
      </c>
      <c r="C296">
        <v>2023</v>
      </c>
      <c r="D296" t="s">
        <v>278</v>
      </c>
      <c r="E296">
        <v>0.5555555621782938</v>
      </c>
      <c r="F296">
        <v>0.0001310302273032</v>
      </c>
      <c r="G296">
        <v>0.9428732</v>
      </c>
      <c r="H296">
        <v>0.0209977902964713</v>
      </c>
      <c r="I296">
        <v>-8.007113821138239</v>
      </c>
    </row>
    <row r="297" spans="1:9">
      <c r="A297" t="s">
        <v>135</v>
      </c>
      <c r="B297" t="s">
        <v>234</v>
      </c>
      <c r="C297">
        <v>2022</v>
      </c>
      <c r="D297" t="s">
        <v>263</v>
      </c>
      <c r="E297">
        <v>0.0070685868461926</v>
      </c>
      <c r="F297">
        <v>0.0095682063534382</v>
      </c>
      <c r="G297">
        <v>0.003891021</v>
      </c>
      <c r="H297">
        <v>4.69843067797692</v>
      </c>
      <c r="I297">
        <v>0.8594903680675068</v>
      </c>
    </row>
    <row r="298" spans="1:9">
      <c r="A298" t="s">
        <v>135</v>
      </c>
      <c r="B298" t="s">
        <v>234</v>
      </c>
      <c r="C298">
        <v>2023</v>
      </c>
      <c r="D298" t="s">
        <v>263</v>
      </c>
      <c r="E298">
        <v>0.0114942528307437</v>
      </c>
      <c r="F298">
        <v>0.2478575842710757</v>
      </c>
      <c r="G298">
        <v>0.0037157657</v>
      </c>
      <c r="H298">
        <v>4.137039834592105</v>
      </c>
      <c r="I298">
        <v>0.7134979843380752</v>
      </c>
    </row>
    <row r="299" spans="1:9">
      <c r="A299" t="s">
        <v>135</v>
      </c>
      <c r="B299" t="s">
        <v>234</v>
      </c>
      <c r="C299">
        <v>2024</v>
      </c>
      <c r="D299" t="s">
        <v>263</v>
      </c>
      <c r="E299">
        <v>0.0114942528307437</v>
      </c>
      <c r="F299">
        <v>0.0129576672288804</v>
      </c>
      <c r="G299">
        <v>0.0038345759</v>
      </c>
      <c r="H299">
        <v>5.766008865943092</v>
      </c>
      <c r="I299">
        <v>0.5569764786480932</v>
      </c>
    </row>
    <row r="300" spans="1:9">
      <c r="A300" t="s">
        <v>135</v>
      </c>
      <c r="B300" t="s">
        <v>234</v>
      </c>
      <c r="C300">
        <v>2025</v>
      </c>
      <c r="D300" t="s">
        <v>263</v>
      </c>
      <c r="E300">
        <v>0.0114942528307437</v>
      </c>
      <c r="F300">
        <v>0.0927391619564432</v>
      </c>
      <c r="G300">
        <v>0.0039888555</v>
      </c>
      <c r="H300">
        <v>5.634703324375149</v>
      </c>
      <c r="I300">
        <v>0.6984344053569744</v>
      </c>
    </row>
    <row r="301" spans="1:9">
      <c r="A301" t="s">
        <v>136</v>
      </c>
      <c r="B301" t="s">
        <v>235</v>
      </c>
      <c r="C301">
        <v>2021</v>
      </c>
      <c r="D301" t="s">
        <v>277</v>
      </c>
      <c r="E301">
        <v>0.122605367253224</v>
      </c>
      <c r="F301">
        <v>0.0555483613287458</v>
      </c>
      <c r="G301">
        <v>0.009121878999999999</v>
      </c>
      <c r="H301">
        <v>0.3068757633009742</v>
      </c>
      <c r="I301">
        <v>4.265804564928593</v>
      </c>
    </row>
    <row r="302" spans="1:9">
      <c r="A302" t="s">
        <v>136</v>
      </c>
      <c r="B302" t="s">
        <v>235</v>
      </c>
      <c r="C302">
        <v>2022</v>
      </c>
      <c r="D302" t="s">
        <v>277</v>
      </c>
      <c r="E302">
        <v>0.0641836263239383</v>
      </c>
      <c r="F302">
        <v>0.0221937140000619</v>
      </c>
      <c r="G302">
        <v>0.010616469</v>
      </c>
      <c r="H302">
        <v>0.5543019556058341</v>
      </c>
      <c r="I302">
        <v>8.363192750087135</v>
      </c>
    </row>
    <row r="303" spans="1:9">
      <c r="A303" t="s">
        <v>136</v>
      </c>
      <c r="B303" t="s">
        <v>235</v>
      </c>
      <c r="C303">
        <v>2023</v>
      </c>
      <c r="D303" t="s">
        <v>277</v>
      </c>
      <c r="E303">
        <v>0</v>
      </c>
      <c r="F303">
        <v>0.0009080538102492</v>
      </c>
      <c r="G303">
        <v>0.0031581244</v>
      </c>
      <c r="H303">
        <v>1.570189267913982</v>
      </c>
      <c r="I303">
        <v>4.684589331075359</v>
      </c>
    </row>
    <row r="304" spans="1:9">
      <c r="A304" t="s">
        <v>136</v>
      </c>
      <c r="B304" t="s">
        <v>235</v>
      </c>
      <c r="C304">
        <v>2024</v>
      </c>
      <c r="D304" t="s">
        <v>277</v>
      </c>
      <c r="E304">
        <v>0</v>
      </c>
      <c r="F304">
        <v>0.0103338435495636</v>
      </c>
      <c r="G304">
        <v>0.0026488714</v>
      </c>
      <c r="H304">
        <v>2.491393941556922</v>
      </c>
      <c r="I304">
        <v>2.752875842919476</v>
      </c>
    </row>
    <row r="305" spans="1:9">
      <c r="A305" t="s">
        <v>137</v>
      </c>
      <c r="B305" t="s">
        <v>236</v>
      </c>
      <c r="C305">
        <v>2022</v>
      </c>
      <c r="D305" t="s">
        <v>267</v>
      </c>
      <c r="E305">
        <v>0.0114942528307437</v>
      </c>
      <c r="F305">
        <v>0.0028006387258913</v>
      </c>
      <c r="G305">
        <v>0.002897508</v>
      </c>
      <c r="H305">
        <v>2.894255025783237</v>
      </c>
      <c r="I305">
        <v>0.3617439719815006</v>
      </c>
    </row>
    <row r="306" spans="1:9">
      <c r="A306" t="s">
        <v>137</v>
      </c>
      <c r="B306" t="s">
        <v>236</v>
      </c>
      <c r="C306">
        <v>2023</v>
      </c>
      <c r="D306" t="s">
        <v>267</v>
      </c>
      <c r="E306">
        <v>0.0076158413042624</v>
      </c>
      <c r="F306">
        <v>0.0057331667395321</v>
      </c>
      <c r="G306">
        <v>0.0029084368</v>
      </c>
      <c r="H306">
        <v>2.422267510289113</v>
      </c>
      <c r="I306">
        <v>0.4671114389164543</v>
      </c>
    </row>
    <row r="307" spans="1:9">
      <c r="A307" t="s">
        <v>137</v>
      </c>
      <c r="B307" t="s">
        <v>236</v>
      </c>
      <c r="C307">
        <v>2024</v>
      </c>
      <c r="D307" t="s">
        <v>267</v>
      </c>
      <c r="E307">
        <v>0.0005328709958120999</v>
      </c>
      <c r="F307">
        <v>0.0022366831849066</v>
      </c>
      <c r="G307">
        <v>0.0027958278</v>
      </c>
      <c r="H307">
        <v>2.734869291497286</v>
      </c>
      <c r="I307">
        <v>0.4362322475270359</v>
      </c>
    </row>
    <row r="308" spans="1:9">
      <c r="A308" t="s">
        <v>137</v>
      </c>
      <c r="B308" t="s">
        <v>236</v>
      </c>
      <c r="C308">
        <v>2025</v>
      </c>
      <c r="D308" t="s">
        <v>267</v>
      </c>
      <c r="E308">
        <v>0.0076158413042624</v>
      </c>
      <c r="F308">
        <v>0.0047004111710572</v>
      </c>
      <c r="G308">
        <v>0.0029084368</v>
      </c>
      <c r="H308">
        <v>2.271476009203342</v>
      </c>
      <c r="I308">
        <v>0.4383005218216318</v>
      </c>
    </row>
    <row r="309" spans="1:9">
      <c r="A309" t="s">
        <v>138</v>
      </c>
      <c r="B309" t="s">
        <v>138</v>
      </c>
      <c r="C309">
        <v>2021</v>
      </c>
      <c r="D309" t="s">
        <v>263</v>
      </c>
      <c r="E309">
        <v>0.0114942528307437</v>
      </c>
      <c r="F309">
        <v>0.0040835117053986</v>
      </c>
      <c r="G309">
        <v>0.0040174993</v>
      </c>
      <c r="H309">
        <v>4.736221606158513</v>
      </c>
      <c r="I309">
        <v>0.3897511131701541</v>
      </c>
    </row>
    <row r="310" spans="1:9">
      <c r="A310" t="s">
        <v>138</v>
      </c>
      <c r="B310" t="s">
        <v>138</v>
      </c>
      <c r="C310">
        <v>2022</v>
      </c>
      <c r="D310" t="s">
        <v>263</v>
      </c>
      <c r="E310">
        <v>0.0114942528307437</v>
      </c>
      <c r="F310">
        <v>0.0128982370774055</v>
      </c>
      <c r="G310">
        <v>0.004005706</v>
      </c>
      <c r="H310">
        <v>3.882705120705788</v>
      </c>
      <c r="I310">
        <v>0.3256109092718857</v>
      </c>
    </row>
    <row r="311" spans="1:9">
      <c r="A311" t="s">
        <v>138</v>
      </c>
      <c r="B311" t="s">
        <v>138</v>
      </c>
      <c r="C311">
        <v>2023</v>
      </c>
      <c r="D311" t="s">
        <v>263</v>
      </c>
      <c r="E311">
        <v>0.0114942528307437</v>
      </c>
      <c r="F311">
        <v>0.0009762199340383</v>
      </c>
      <c r="G311">
        <v>0.003973883</v>
      </c>
      <c r="H311">
        <v>6.010505693767773</v>
      </c>
      <c r="I311">
        <v>0.2036981254489422</v>
      </c>
    </row>
    <row r="312" spans="1:9">
      <c r="A312" t="s">
        <v>138</v>
      </c>
      <c r="B312" t="s">
        <v>138</v>
      </c>
      <c r="C312">
        <v>2024</v>
      </c>
      <c r="D312" t="s">
        <v>263</v>
      </c>
      <c r="E312">
        <v>0.0114942528307437</v>
      </c>
      <c r="F312">
        <v>0.0039360856826857</v>
      </c>
      <c r="G312">
        <v>0.003973883</v>
      </c>
      <c r="H312">
        <v>7.874513516155</v>
      </c>
      <c r="I312">
        <v>0.2343970070422535</v>
      </c>
    </row>
    <row r="313" spans="1:9">
      <c r="A313" t="s">
        <v>139</v>
      </c>
      <c r="B313" t="s">
        <v>237</v>
      </c>
      <c r="C313">
        <v>2022</v>
      </c>
      <c r="D313" t="s">
        <v>267</v>
      </c>
      <c r="E313">
        <v>0.0114942528307437</v>
      </c>
      <c r="F313">
        <v>0.0021795115570008</v>
      </c>
      <c r="G313">
        <v>0.0036210867</v>
      </c>
      <c r="H313">
        <v>0.1612355429506432</v>
      </c>
      <c r="I313">
        <v>1.497734010341362</v>
      </c>
    </row>
    <row r="314" spans="1:9">
      <c r="A314" t="s">
        <v>139</v>
      </c>
      <c r="B314" t="s">
        <v>237</v>
      </c>
      <c r="C314">
        <v>2023</v>
      </c>
      <c r="D314" t="s">
        <v>267</v>
      </c>
      <c r="E314">
        <v>0.1914506095151106</v>
      </c>
      <c r="F314">
        <v>0.0020995587995785</v>
      </c>
      <c r="G314">
        <v>0.0114797875</v>
      </c>
      <c r="H314">
        <v>0.1652494910989708</v>
      </c>
      <c r="I314">
        <v>1.454575302494341</v>
      </c>
    </row>
    <row r="315" spans="1:9">
      <c r="A315" t="s">
        <v>139</v>
      </c>
      <c r="B315" t="s">
        <v>237</v>
      </c>
      <c r="C315">
        <v>2024</v>
      </c>
      <c r="D315" t="s">
        <v>267</v>
      </c>
      <c r="E315">
        <v>0.0114942528307437</v>
      </c>
      <c r="F315">
        <v>0.0011063832714649</v>
      </c>
      <c r="G315">
        <v>0.0036210867</v>
      </c>
      <c r="H315">
        <v>0.1836256755412392</v>
      </c>
      <c r="I315">
        <v>1.341168232173038</v>
      </c>
    </row>
    <row r="316" spans="1:9">
      <c r="A316" t="s">
        <v>139</v>
      </c>
      <c r="B316" t="s">
        <v>237</v>
      </c>
      <c r="C316">
        <v>2025</v>
      </c>
      <c r="D316" t="s">
        <v>267</v>
      </c>
      <c r="E316">
        <v>0.0114942528307437</v>
      </c>
      <c r="F316">
        <v>0.0025909627738589</v>
      </c>
      <c r="G316">
        <v>0.0036210867</v>
      </c>
      <c r="H316">
        <v>0.1884651513624801</v>
      </c>
      <c r="I316">
        <v>1.26915562092254</v>
      </c>
    </row>
    <row r="317" spans="1:9">
      <c r="A317" t="s">
        <v>140</v>
      </c>
      <c r="B317" t="s">
        <v>238</v>
      </c>
      <c r="C317">
        <v>2021</v>
      </c>
      <c r="D317" t="s">
        <v>274</v>
      </c>
      <c r="E317">
        <v>0</v>
      </c>
      <c r="F317">
        <v>0.0043483038634113</v>
      </c>
      <c r="G317">
        <v>0.002715559</v>
      </c>
      <c r="H317">
        <v>2.18359998166274</v>
      </c>
      <c r="I317">
        <v>0.5180472770621929</v>
      </c>
    </row>
    <row r="318" spans="1:9">
      <c r="A318" t="s">
        <v>140</v>
      </c>
      <c r="B318" t="s">
        <v>238</v>
      </c>
      <c r="C318">
        <v>2022</v>
      </c>
      <c r="D318" t="s">
        <v>274</v>
      </c>
      <c r="E318">
        <v>0</v>
      </c>
      <c r="F318">
        <v>0.0031501261129549</v>
      </c>
      <c r="G318">
        <v>0.0027958278</v>
      </c>
      <c r="H318">
        <v>2.746344460917916</v>
      </c>
      <c r="I318">
        <v>0.4399334285354278</v>
      </c>
    </row>
    <row r="319" spans="1:9">
      <c r="A319" t="s">
        <v>140</v>
      </c>
      <c r="B319" t="s">
        <v>238</v>
      </c>
      <c r="C319">
        <v>2023</v>
      </c>
      <c r="D319" t="s">
        <v>274</v>
      </c>
      <c r="E319">
        <v>0</v>
      </c>
      <c r="F319">
        <v>0.0078848553035408</v>
      </c>
      <c r="G319">
        <v>0.0027958278</v>
      </c>
      <c r="H319">
        <v>2.723130002329035</v>
      </c>
      <c r="I319">
        <v>0.436966458921691</v>
      </c>
    </row>
    <row r="320" spans="1:9">
      <c r="A320" t="s">
        <v>140</v>
      </c>
      <c r="B320" t="s">
        <v>238</v>
      </c>
      <c r="C320">
        <v>2024</v>
      </c>
      <c r="D320" t="s">
        <v>274</v>
      </c>
      <c r="E320">
        <v>0</v>
      </c>
      <c r="F320">
        <v>0.0039066869155264</v>
      </c>
      <c r="G320">
        <v>0.0027958278</v>
      </c>
      <c r="H320">
        <v>2.630706357013252</v>
      </c>
      <c r="I320">
        <v>0.4322769156567044</v>
      </c>
    </row>
    <row r="321" spans="1:9">
      <c r="A321" t="s">
        <v>141</v>
      </c>
      <c r="B321" t="s">
        <v>239</v>
      </c>
      <c r="C321">
        <v>2021</v>
      </c>
      <c r="D321" t="s">
        <v>265</v>
      </c>
      <c r="E321">
        <v>0</v>
      </c>
      <c r="F321">
        <v>0.004030271359957</v>
      </c>
      <c r="G321">
        <v>0.0027333575</v>
      </c>
      <c r="H321">
        <v>1.440957028245439</v>
      </c>
      <c r="I321">
        <v>1.102807971014493</v>
      </c>
    </row>
    <row r="322" spans="1:9">
      <c r="A322" t="s">
        <v>141</v>
      </c>
      <c r="B322" t="s">
        <v>239</v>
      </c>
      <c r="C322">
        <v>2022</v>
      </c>
      <c r="D322" t="s">
        <v>265</v>
      </c>
      <c r="E322">
        <v>0.0114942528307437</v>
      </c>
      <c r="F322">
        <v>0.0238165802320947</v>
      </c>
      <c r="G322">
        <v>0.0027885255</v>
      </c>
      <c r="H322">
        <v>1.269506786596335</v>
      </c>
      <c r="I322">
        <v>1.035606912772267</v>
      </c>
    </row>
    <row r="323" spans="1:9">
      <c r="A323" t="s">
        <v>141</v>
      </c>
      <c r="B323" t="s">
        <v>239</v>
      </c>
      <c r="C323">
        <v>2023</v>
      </c>
      <c r="D323" t="s">
        <v>265</v>
      </c>
      <c r="E323">
        <v>0</v>
      </c>
      <c r="F323">
        <v>0.0040715365870545</v>
      </c>
      <c r="G323">
        <v>0.0027862696</v>
      </c>
      <c r="H323">
        <v>1.54969741391606</v>
      </c>
      <c r="I323">
        <v>0.9751789376752752</v>
      </c>
    </row>
    <row r="324" spans="1:9">
      <c r="A324" t="s">
        <v>141</v>
      </c>
      <c r="B324" t="s">
        <v>239</v>
      </c>
      <c r="C324">
        <v>2024</v>
      </c>
      <c r="D324" t="s">
        <v>265</v>
      </c>
      <c r="E324">
        <v>0</v>
      </c>
      <c r="F324">
        <v>0.0065360525328813</v>
      </c>
      <c r="G324">
        <v>0.0028452289</v>
      </c>
      <c r="H324">
        <v>1.741498786965192</v>
      </c>
      <c r="I324">
        <v>0.934749531835206</v>
      </c>
    </row>
    <row r="325" spans="1:9">
      <c r="A325" t="s">
        <v>142</v>
      </c>
      <c r="B325" t="s">
        <v>240</v>
      </c>
      <c r="C325">
        <v>2022</v>
      </c>
      <c r="D325" t="s">
        <v>263</v>
      </c>
      <c r="E325">
        <v>0</v>
      </c>
      <c r="F325">
        <v>0.0031216030496411</v>
      </c>
      <c r="G325">
        <v>0.0032182261</v>
      </c>
      <c r="H325">
        <v>0.6926567697246258</v>
      </c>
      <c r="I325">
        <v>0.5928058347972445</v>
      </c>
    </row>
    <row r="326" spans="1:9">
      <c r="A326" t="s">
        <v>142</v>
      </c>
      <c r="B326" t="s">
        <v>240</v>
      </c>
      <c r="C326">
        <v>2023</v>
      </c>
      <c r="D326" t="s">
        <v>263</v>
      </c>
      <c r="E326">
        <v>0</v>
      </c>
      <c r="F326">
        <v>0.0047293669313681</v>
      </c>
      <c r="G326">
        <v>0.0033477908</v>
      </c>
      <c r="H326">
        <v>0.7469454433213616</v>
      </c>
      <c r="I326">
        <v>0.5865803283364176</v>
      </c>
    </row>
    <row r="327" spans="1:9">
      <c r="A327" t="s">
        <v>142</v>
      </c>
      <c r="B327" t="s">
        <v>240</v>
      </c>
      <c r="C327">
        <v>2024</v>
      </c>
      <c r="D327" t="s">
        <v>263</v>
      </c>
      <c r="E327">
        <v>0</v>
      </c>
      <c r="F327">
        <v>0.0033246801506397</v>
      </c>
      <c r="G327">
        <v>0.0033477908</v>
      </c>
      <c r="H327">
        <v>0.7778557843263247</v>
      </c>
      <c r="I327">
        <v>0.5388608964836329</v>
      </c>
    </row>
    <row r="328" spans="1:9">
      <c r="A328" t="s">
        <v>142</v>
      </c>
      <c r="B328" t="s">
        <v>240</v>
      </c>
      <c r="C328">
        <v>2025</v>
      </c>
      <c r="D328" t="s">
        <v>263</v>
      </c>
      <c r="E328">
        <v>0</v>
      </c>
      <c r="F328">
        <v>0.0025521527009051</v>
      </c>
      <c r="G328">
        <v>0.0032182261</v>
      </c>
      <c r="H328">
        <v>0.7897784313933021</v>
      </c>
      <c r="I328">
        <v>0.5132490071512009</v>
      </c>
    </row>
    <row r="329" spans="1:9">
      <c r="A329" t="s">
        <v>143</v>
      </c>
      <c r="B329" t="s">
        <v>241</v>
      </c>
      <c r="C329">
        <v>2022</v>
      </c>
      <c r="D329" t="s">
        <v>261</v>
      </c>
      <c r="E329">
        <v>0.0114942528307437</v>
      </c>
      <c r="F329">
        <v>0.0003729751490955</v>
      </c>
      <c r="G329">
        <v>0.003973883</v>
      </c>
      <c r="H329">
        <v>8.398908323565001</v>
      </c>
      <c r="I329">
        <v>0.0268749679762355</v>
      </c>
    </row>
    <row r="330" spans="1:9">
      <c r="A330" t="s">
        <v>143</v>
      </c>
      <c r="B330" t="s">
        <v>241</v>
      </c>
      <c r="C330">
        <v>2023</v>
      </c>
      <c r="D330" t="s">
        <v>261</v>
      </c>
      <c r="E330">
        <v>0.0114942528307437</v>
      </c>
      <c r="F330">
        <v>0.0025080512048489</v>
      </c>
      <c r="G330">
        <v>0.003973883</v>
      </c>
      <c r="H330">
        <v>8.222869496993892</v>
      </c>
      <c r="I330">
        <v>0.1229721094847467</v>
      </c>
    </row>
    <row r="331" spans="1:9">
      <c r="A331" t="s">
        <v>143</v>
      </c>
      <c r="B331" t="s">
        <v>241</v>
      </c>
      <c r="C331">
        <v>2024</v>
      </c>
      <c r="D331" t="s">
        <v>261</v>
      </c>
      <c r="E331">
        <v>0.0114942528307437</v>
      </c>
      <c r="F331">
        <v>0.0016234066289137</v>
      </c>
      <c r="G331">
        <v>0.003973883</v>
      </c>
      <c r="H331">
        <v>14.42926560941381</v>
      </c>
      <c r="I331">
        <v>0.0514188332214224</v>
      </c>
    </row>
    <row r="332" spans="1:9">
      <c r="A332" t="s">
        <v>143</v>
      </c>
      <c r="B332" t="s">
        <v>241</v>
      </c>
      <c r="C332">
        <v>2025</v>
      </c>
      <c r="D332" t="s">
        <v>261</v>
      </c>
      <c r="E332">
        <v>0.0114942528307437</v>
      </c>
      <c r="F332">
        <v>0.0029867165953626</v>
      </c>
      <c r="G332">
        <v>0.003973883</v>
      </c>
      <c r="H332">
        <v>15.70584487129534</v>
      </c>
      <c r="I332">
        <v>0.032709149323119</v>
      </c>
    </row>
    <row r="333" spans="1:9">
      <c r="A333" t="s">
        <v>144</v>
      </c>
      <c r="B333" t="s">
        <v>242</v>
      </c>
      <c r="C333">
        <v>2021</v>
      </c>
      <c r="D333" t="s">
        <v>275</v>
      </c>
      <c r="E333">
        <v>0</v>
      </c>
      <c r="F333">
        <v>0.0183311836009354</v>
      </c>
      <c r="G333">
        <v>0.0029923834</v>
      </c>
      <c r="H333">
        <v>1.002416717803755</v>
      </c>
      <c r="I333">
        <v>1.177356131111272</v>
      </c>
    </row>
    <row r="334" spans="1:9">
      <c r="A334" t="s">
        <v>144</v>
      </c>
      <c r="B334" t="s">
        <v>242</v>
      </c>
      <c r="C334">
        <v>2022</v>
      </c>
      <c r="D334" t="s">
        <v>275</v>
      </c>
      <c r="E334">
        <v>0</v>
      </c>
      <c r="F334">
        <v>0.0171330848089188</v>
      </c>
      <c r="G334">
        <v>0.0035881738</v>
      </c>
      <c r="H334">
        <v>0.8547115856401272</v>
      </c>
      <c r="I334">
        <v>1.586451282051282</v>
      </c>
    </row>
    <row r="335" spans="1:9">
      <c r="A335" t="s">
        <v>144</v>
      </c>
      <c r="B335" t="s">
        <v>242</v>
      </c>
      <c r="C335">
        <v>2023</v>
      </c>
      <c r="D335" t="s">
        <v>275</v>
      </c>
      <c r="E335">
        <v>0</v>
      </c>
      <c r="F335">
        <v>0.005526217360895</v>
      </c>
      <c r="G335">
        <v>0.002843457</v>
      </c>
      <c r="H335">
        <v>1.0609458261308</v>
      </c>
      <c r="I335">
        <v>1.49954984171854</v>
      </c>
    </row>
    <row r="336" spans="1:9">
      <c r="A336" t="s">
        <v>144</v>
      </c>
      <c r="B336" t="s">
        <v>242</v>
      </c>
      <c r="C336">
        <v>2024</v>
      </c>
      <c r="D336" t="s">
        <v>275</v>
      </c>
      <c r="E336">
        <v>0</v>
      </c>
      <c r="F336">
        <v>0.00587620553116</v>
      </c>
      <c r="G336">
        <v>0.0027333575</v>
      </c>
      <c r="H336">
        <v>1.183571367508418</v>
      </c>
      <c r="I336">
        <v>1.35019928716514</v>
      </c>
    </row>
    <row r="337" spans="1:9">
      <c r="A337" t="s">
        <v>145</v>
      </c>
      <c r="B337" t="s">
        <v>243</v>
      </c>
      <c r="C337">
        <v>2022</v>
      </c>
      <c r="D337" t="s">
        <v>264</v>
      </c>
      <c r="E337">
        <v>0</v>
      </c>
      <c r="F337">
        <v>0.0737371174203615</v>
      </c>
      <c r="G337">
        <v>0.003518906</v>
      </c>
      <c r="H337">
        <v>1.364645097030545</v>
      </c>
      <c r="I337">
        <v>3.3145179532706</v>
      </c>
    </row>
    <row r="338" spans="1:9">
      <c r="A338" t="s">
        <v>145</v>
      </c>
      <c r="B338" t="s">
        <v>243</v>
      </c>
      <c r="C338">
        <v>2023</v>
      </c>
      <c r="D338" t="s">
        <v>264</v>
      </c>
      <c r="E338">
        <v>0</v>
      </c>
      <c r="F338">
        <v>0.0048760238760493</v>
      </c>
      <c r="G338">
        <v>0.002842503</v>
      </c>
      <c r="H338">
        <v>1.650835207428025</v>
      </c>
      <c r="I338">
        <v>3.01429952347425</v>
      </c>
    </row>
    <row r="339" spans="1:9">
      <c r="A339" t="s">
        <v>145</v>
      </c>
      <c r="B339" t="s">
        <v>243</v>
      </c>
      <c r="C339">
        <v>2024</v>
      </c>
      <c r="D339" t="s">
        <v>264</v>
      </c>
      <c r="E339">
        <v>0</v>
      </c>
      <c r="F339">
        <v>0.0004260632710087</v>
      </c>
      <c r="G339">
        <v>0.0025976868</v>
      </c>
      <c r="H339">
        <v>2.569368742442103</v>
      </c>
      <c r="I339">
        <v>1.293153395039921</v>
      </c>
    </row>
    <row r="340" spans="1:9">
      <c r="A340" t="s">
        <v>145</v>
      </c>
      <c r="B340" t="s">
        <v>243</v>
      </c>
      <c r="C340">
        <v>2025</v>
      </c>
      <c r="D340" t="s">
        <v>264</v>
      </c>
      <c r="E340">
        <v>0</v>
      </c>
      <c r="F340">
        <v>0.0085015559432625</v>
      </c>
      <c r="G340">
        <v>0.0027023365</v>
      </c>
      <c r="H340">
        <v>2.488326265560841</v>
      </c>
      <c r="I340">
        <v>0.6371745419479267</v>
      </c>
    </row>
    <row r="341" spans="1:9">
      <c r="A341" t="s">
        <v>146</v>
      </c>
      <c r="B341" t="s">
        <v>244</v>
      </c>
      <c r="C341">
        <v>2022</v>
      </c>
      <c r="D341" t="s">
        <v>267</v>
      </c>
      <c r="E341">
        <v>0.0114942528307437</v>
      </c>
      <c r="F341">
        <v>0.0001978271189524</v>
      </c>
      <c r="G341">
        <v>0.003973883</v>
      </c>
      <c r="H341">
        <v>17.71172730700726</v>
      </c>
      <c r="I341">
        <v>0.0877057180358765</v>
      </c>
    </row>
    <row r="342" spans="1:9">
      <c r="A342" t="s">
        <v>146</v>
      </c>
      <c r="B342" t="s">
        <v>244</v>
      </c>
      <c r="C342">
        <v>2023</v>
      </c>
      <c r="D342" t="s">
        <v>267</v>
      </c>
      <c r="E342">
        <v>0.0114942528307437</v>
      </c>
      <c r="F342">
        <v>0.0210278832279821</v>
      </c>
      <c r="G342">
        <v>0.0041337484</v>
      </c>
      <c r="H342">
        <v>16.21674490263972</v>
      </c>
      <c r="I342">
        <v>0.0850216756613288</v>
      </c>
    </row>
    <row r="343" spans="1:9">
      <c r="A343" t="s">
        <v>146</v>
      </c>
      <c r="B343" t="s">
        <v>244</v>
      </c>
      <c r="C343">
        <v>2024</v>
      </c>
      <c r="D343" t="s">
        <v>267</v>
      </c>
      <c r="E343">
        <v>0.0114942528307437</v>
      </c>
      <c r="F343">
        <v>0.0169437906435783</v>
      </c>
      <c r="G343">
        <v>0.003973883</v>
      </c>
      <c r="H343">
        <v>18.3755731600269</v>
      </c>
      <c r="I343">
        <v>0.0886406082507266</v>
      </c>
    </row>
    <row r="344" spans="1:9">
      <c r="A344" t="s">
        <v>146</v>
      </c>
      <c r="B344" t="s">
        <v>244</v>
      </c>
      <c r="C344">
        <v>2025</v>
      </c>
      <c r="D344" t="s">
        <v>267</v>
      </c>
      <c r="E344">
        <v>0.0114942528307437</v>
      </c>
      <c r="F344">
        <v>0.0322390552826107</v>
      </c>
      <c r="G344">
        <v>0.003973883</v>
      </c>
      <c r="H344">
        <v>17.34143809222368</v>
      </c>
      <c r="I344">
        <v>0.09911773396935281</v>
      </c>
    </row>
    <row r="345" spans="1:9">
      <c r="A345" t="s">
        <v>147</v>
      </c>
      <c r="B345" t="s">
        <v>245</v>
      </c>
      <c r="C345">
        <v>2022</v>
      </c>
      <c r="D345" t="s">
        <v>263</v>
      </c>
      <c r="E345">
        <v>0</v>
      </c>
      <c r="F345">
        <v>0.005118200368847</v>
      </c>
      <c r="G345">
        <v>0.003452657</v>
      </c>
      <c r="H345">
        <v>4.153120897523765</v>
      </c>
      <c r="I345">
        <v>1.283776409136976</v>
      </c>
    </row>
    <row r="346" spans="1:9">
      <c r="A346" t="s">
        <v>147</v>
      </c>
      <c r="B346" t="s">
        <v>245</v>
      </c>
      <c r="C346">
        <v>2023</v>
      </c>
      <c r="D346" t="s">
        <v>263</v>
      </c>
      <c r="E346">
        <v>0</v>
      </c>
      <c r="F346">
        <v>0.1268467954540074</v>
      </c>
      <c r="G346">
        <v>0.0027023365</v>
      </c>
      <c r="H346">
        <v>3.536747092829261</v>
      </c>
      <c r="I346">
        <v>1.698094729344729</v>
      </c>
    </row>
    <row r="347" spans="1:9">
      <c r="A347" t="s">
        <v>147</v>
      </c>
      <c r="B347" t="s">
        <v>245</v>
      </c>
      <c r="C347">
        <v>2024</v>
      </c>
      <c r="D347" t="s">
        <v>263</v>
      </c>
      <c r="E347">
        <v>0</v>
      </c>
      <c r="F347">
        <v>0.0142133661521379</v>
      </c>
      <c r="G347">
        <v>0.0027023365</v>
      </c>
      <c r="H347">
        <v>3.440875151123835</v>
      </c>
      <c r="I347">
        <v>1.462626563430613</v>
      </c>
    </row>
    <row r="348" spans="1:9">
      <c r="A348" t="s">
        <v>147</v>
      </c>
      <c r="B348" t="s">
        <v>245</v>
      </c>
      <c r="C348">
        <v>2025</v>
      </c>
      <c r="D348" t="s">
        <v>263</v>
      </c>
      <c r="E348">
        <v>0</v>
      </c>
      <c r="F348">
        <v>0.0225021864329359</v>
      </c>
      <c r="G348">
        <v>0.0027023365</v>
      </c>
      <c r="H348">
        <v>3.29358806362285</v>
      </c>
      <c r="I348">
        <v>1.355175235237965</v>
      </c>
    </row>
    <row r="349" spans="1:9">
      <c r="A349" t="s">
        <v>148</v>
      </c>
      <c r="B349" t="s">
        <v>246</v>
      </c>
      <c r="C349">
        <v>2022</v>
      </c>
      <c r="D349" t="s">
        <v>261</v>
      </c>
      <c r="E349">
        <v>0.122605367253224</v>
      </c>
      <c r="F349">
        <v>0.0058692247745606</v>
      </c>
      <c r="G349">
        <v>0.0073557356</v>
      </c>
      <c r="H349">
        <v>13.61088992281906</v>
      </c>
      <c r="I349">
        <v>0.7821132967859831</v>
      </c>
    </row>
    <row r="350" spans="1:9">
      <c r="A350" t="s">
        <v>148</v>
      </c>
      <c r="B350" t="s">
        <v>246</v>
      </c>
      <c r="C350">
        <v>2023</v>
      </c>
      <c r="D350" t="s">
        <v>261</v>
      </c>
      <c r="E350">
        <v>0.0114942528307437</v>
      </c>
      <c r="F350">
        <v>0.0182685660260333</v>
      </c>
      <c r="G350">
        <v>0.0037605695</v>
      </c>
      <c r="H350">
        <v>11.4012536727935</v>
      </c>
      <c r="I350">
        <v>0.7903974348156274</v>
      </c>
    </row>
    <row r="351" spans="1:9">
      <c r="A351" t="s">
        <v>148</v>
      </c>
      <c r="B351" t="s">
        <v>246</v>
      </c>
      <c r="C351">
        <v>2024</v>
      </c>
      <c r="D351" t="s">
        <v>261</v>
      </c>
      <c r="E351">
        <v>0.0114942528307437</v>
      </c>
      <c r="F351">
        <v>0.0390457937219343</v>
      </c>
      <c r="G351">
        <v>0.0035630846</v>
      </c>
      <c r="H351">
        <v>11.60268984066382</v>
      </c>
      <c r="I351">
        <v>1.653145959757266</v>
      </c>
    </row>
    <row r="352" spans="1:9">
      <c r="A352" t="s">
        <v>148</v>
      </c>
      <c r="B352" t="s">
        <v>246</v>
      </c>
      <c r="C352">
        <v>2025</v>
      </c>
      <c r="D352" t="s">
        <v>261</v>
      </c>
      <c r="E352">
        <v>0.0114942528307437</v>
      </c>
      <c r="F352">
        <v>0.0689875391659774</v>
      </c>
      <c r="G352">
        <v>0.0037064818</v>
      </c>
      <c r="H352">
        <v>8.232595705286469</v>
      </c>
      <c r="I352">
        <v>1.787422573984859</v>
      </c>
    </row>
    <row r="353" spans="1:9">
      <c r="A353" t="s">
        <v>149</v>
      </c>
      <c r="B353" t="s">
        <v>247</v>
      </c>
      <c r="C353">
        <v>2022</v>
      </c>
      <c r="D353" t="s">
        <v>265</v>
      </c>
      <c r="E353">
        <v>0</v>
      </c>
      <c r="F353">
        <v>0.0181540194190396</v>
      </c>
      <c r="G353">
        <v>0.0032992</v>
      </c>
      <c r="H353">
        <v>1.164987521746846</v>
      </c>
      <c r="I353">
        <v>1.009540055465279</v>
      </c>
    </row>
    <row r="354" spans="1:9">
      <c r="A354" t="s">
        <v>149</v>
      </c>
      <c r="B354" t="s">
        <v>247</v>
      </c>
      <c r="C354">
        <v>2023</v>
      </c>
      <c r="D354" t="s">
        <v>265</v>
      </c>
      <c r="E354">
        <v>0</v>
      </c>
      <c r="F354">
        <v>0.0163293940705798</v>
      </c>
      <c r="G354">
        <v>0.0032831484</v>
      </c>
      <c r="H354">
        <v>1.151436367325679</v>
      </c>
      <c r="I354">
        <v>1.036754183483183</v>
      </c>
    </row>
    <row r="355" spans="1:9">
      <c r="A355" t="s">
        <v>149</v>
      </c>
      <c r="B355" t="s">
        <v>247</v>
      </c>
      <c r="C355">
        <v>2024</v>
      </c>
      <c r="D355" t="s">
        <v>265</v>
      </c>
      <c r="E355">
        <v>0</v>
      </c>
      <c r="F355">
        <v>0.0046572159534368</v>
      </c>
      <c r="G355">
        <v>0.0032182261</v>
      </c>
      <c r="H355">
        <v>1.256961220691758</v>
      </c>
      <c r="I355">
        <v>1.068402168715687</v>
      </c>
    </row>
    <row r="356" spans="1:9">
      <c r="A356" t="s">
        <v>149</v>
      </c>
      <c r="B356" t="s">
        <v>247</v>
      </c>
      <c r="C356">
        <v>2025</v>
      </c>
      <c r="D356" t="s">
        <v>265</v>
      </c>
      <c r="E356">
        <v>0</v>
      </c>
      <c r="F356">
        <v>0.0229782837995537</v>
      </c>
      <c r="G356">
        <v>0.0033477908</v>
      </c>
      <c r="H356">
        <v>1.23494980242108</v>
      </c>
      <c r="I356">
        <v>1.079834847355976</v>
      </c>
    </row>
    <row r="357" spans="1:9">
      <c r="A357" t="s">
        <v>150</v>
      </c>
      <c r="B357" t="s">
        <v>248</v>
      </c>
      <c r="C357">
        <v>2021</v>
      </c>
      <c r="D357" t="s">
        <v>268</v>
      </c>
      <c r="E357">
        <v>0</v>
      </c>
      <c r="F357">
        <v>0.0911918266469969</v>
      </c>
      <c r="G357">
        <v>0.002698471</v>
      </c>
      <c r="H357">
        <v>1.510739135440742</v>
      </c>
      <c r="I357">
        <v>1.574730109114063</v>
      </c>
    </row>
    <row r="358" spans="1:9">
      <c r="A358" t="s">
        <v>150</v>
      </c>
      <c r="B358" t="s">
        <v>248</v>
      </c>
      <c r="C358">
        <v>2022</v>
      </c>
      <c r="D358" t="s">
        <v>268</v>
      </c>
      <c r="E358">
        <v>0</v>
      </c>
      <c r="F358">
        <v>0.0181628615831648</v>
      </c>
      <c r="G358">
        <v>0.0025939706</v>
      </c>
      <c r="H358">
        <v>1.593593351570044</v>
      </c>
      <c r="I358">
        <v>1.604915585161364</v>
      </c>
    </row>
    <row r="359" spans="1:9">
      <c r="A359" t="s">
        <v>150</v>
      </c>
      <c r="B359" t="s">
        <v>248</v>
      </c>
      <c r="C359">
        <v>2023</v>
      </c>
      <c r="D359" t="s">
        <v>268</v>
      </c>
      <c r="E359">
        <v>0</v>
      </c>
      <c r="F359">
        <v>0.0143368150743363</v>
      </c>
      <c r="G359">
        <v>0.0026488714</v>
      </c>
      <c r="H359">
        <v>1.804501233521924</v>
      </c>
      <c r="I359">
        <v>1.75888124855134</v>
      </c>
    </row>
    <row r="360" spans="1:9">
      <c r="A360" t="s">
        <v>150</v>
      </c>
      <c r="B360" t="s">
        <v>248</v>
      </c>
      <c r="C360">
        <v>2024</v>
      </c>
      <c r="D360" t="s">
        <v>268</v>
      </c>
      <c r="E360">
        <v>0</v>
      </c>
      <c r="F360">
        <v>0.0155373118360687</v>
      </c>
      <c r="G360">
        <v>0.0026488714</v>
      </c>
      <c r="H360">
        <v>2.16754872829975</v>
      </c>
      <c r="I360">
        <v>1.852966424256167</v>
      </c>
    </row>
    <row r="361" spans="1:9">
      <c r="A361" t="s">
        <v>151</v>
      </c>
      <c r="B361" t="s">
        <v>249</v>
      </c>
      <c r="C361">
        <v>2021</v>
      </c>
      <c r="D361" t="s">
        <v>275</v>
      </c>
      <c r="E361">
        <v>0.0114942528307437</v>
      </c>
      <c r="F361">
        <v>0.0029382095639614</v>
      </c>
      <c r="G361">
        <v>0.0045055305</v>
      </c>
      <c r="H361">
        <v>23.52249398551369</v>
      </c>
      <c r="I361">
        <v>0.2939150021531021</v>
      </c>
    </row>
    <row r="362" spans="1:9">
      <c r="A362" t="s">
        <v>151</v>
      </c>
      <c r="B362" t="s">
        <v>249</v>
      </c>
      <c r="C362">
        <v>2022</v>
      </c>
      <c r="D362" t="s">
        <v>275</v>
      </c>
      <c r="E362">
        <v>0.0114942528307437</v>
      </c>
      <c r="F362">
        <v>0.0173996611080541</v>
      </c>
      <c r="G362">
        <v>0.0046866825</v>
      </c>
      <c r="H362">
        <v>8.615633843233292</v>
      </c>
      <c r="I362">
        <v>0.128579098067287</v>
      </c>
    </row>
    <row r="363" spans="1:9">
      <c r="A363" t="s">
        <v>151</v>
      </c>
      <c r="B363" t="s">
        <v>249</v>
      </c>
      <c r="C363">
        <v>2023</v>
      </c>
      <c r="D363" t="s">
        <v>275</v>
      </c>
      <c r="E363">
        <v>0.0114942528307437</v>
      </c>
      <c r="F363">
        <v>0.0059311132355791</v>
      </c>
      <c r="G363">
        <v>0.004418632</v>
      </c>
      <c r="H363">
        <v>12.96672658134585</v>
      </c>
      <c r="I363">
        <v>0.1528403103745569</v>
      </c>
    </row>
    <row r="364" spans="1:9">
      <c r="A364" t="s">
        <v>151</v>
      </c>
      <c r="B364" t="s">
        <v>249</v>
      </c>
      <c r="C364">
        <v>2024</v>
      </c>
      <c r="D364" t="s">
        <v>275</v>
      </c>
      <c r="E364">
        <v>0.0114942528307437</v>
      </c>
      <c r="F364">
        <v>0.024655993288797</v>
      </c>
      <c r="G364">
        <v>0.004418632</v>
      </c>
      <c r="H364">
        <v>18.41418320059368</v>
      </c>
      <c r="I364">
        <v>0.1868391096237982</v>
      </c>
    </row>
    <row r="365" spans="1:9">
      <c r="A365" t="s">
        <v>152</v>
      </c>
      <c r="B365" t="s">
        <v>250</v>
      </c>
      <c r="C365">
        <v>2021</v>
      </c>
      <c r="D365" t="s">
        <v>277</v>
      </c>
      <c r="E365">
        <v>0</v>
      </c>
      <c r="F365">
        <v>0.2778014051321687</v>
      </c>
      <c r="G365">
        <v>0.0046148873</v>
      </c>
      <c r="H365">
        <v>0.5381957145019369</v>
      </c>
      <c r="I365">
        <v>7.827798767150526</v>
      </c>
    </row>
    <row r="366" spans="1:9">
      <c r="A366" t="s">
        <v>152</v>
      </c>
      <c r="B366" t="s">
        <v>250</v>
      </c>
      <c r="C366">
        <v>2022</v>
      </c>
      <c r="D366" t="s">
        <v>277</v>
      </c>
      <c r="E366">
        <v>0</v>
      </c>
      <c r="F366">
        <v>0.0193026939826028</v>
      </c>
      <c r="G366">
        <v>0.0031430018</v>
      </c>
      <c r="H366">
        <v>1.043034535585137</v>
      </c>
      <c r="I366">
        <v>5.283207656612528</v>
      </c>
    </row>
    <row r="367" spans="1:9">
      <c r="A367" t="s">
        <v>152</v>
      </c>
      <c r="B367" t="s">
        <v>250</v>
      </c>
      <c r="C367">
        <v>2023</v>
      </c>
      <c r="D367" t="s">
        <v>277</v>
      </c>
      <c r="E367">
        <v>0</v>
      </c>
      <c r="F367">
        <v>0.0152388136186624</v>
      </c>
      <c r="G367">
        <v>0.0028209651</v>
      </c>
      <c r="H367">
        <v>1.28379681102718</v>
      </c>
      <c r="I367">
        <v>3.94026169026169</v>
      </c>
    </row>
    <row r="368" spans="1:9">
      <c r="A368" t="s">
        <v>152</v>
      </c>
      <c r="B368" t="s">
        <v>250</v>
      </c>
      <c r="C368">
        <v>2024</v>
      </c>
      <c r="D368" t="s">
        <v>277</v>
      </c>
      <c r="E368">
        <v>0</v>
      </c>
      <c r="F368">
        <v>0.004672907604872</v>
      </c>
      <c r="G368">
        <v>0.0027324401</v>
      </c>
      <c r="H368">
        <v>1.538328200324699</v>
      </c>
      <c r="I368">
        <v>2.653491124260355</v>
      </c>
    </row>
    <row r="369" spans="1:9">
      <c r="A369" t="s">
        <v>153</v>
      </c>
      <c r="B369" t="s">
        <v>251</v>
      </c>
      <c r="C369">
        <v>2021</v>
      </c>
      <c r="D369" t="s">
        <v>265</v>
      </c>
      <c r="E369">
        <v>0</v>
      </c>
      <c r="F369">
        <v>0.0174975349420431</v>
      </c>
      <c r="G369">
        <v>0.0027555774</v>
      </c>
      <c r="H369">
        <v>2.696160323468395</v>
      </c>
      <c r="I369">
        <v>1.734494651312328</v>
      </c>
    </row>
    <row r="370" spans="1:9">
      <c r="A370" t="s">
        <v>153</v>
      </c>
      <c r="B370" t="s">
        <v>251</v>
      </c>
      <c r="C370">
        <v>2022</v>
      </c>
      <c r="D370" t="s">
        <v>265</v>
      </c>
      <c r="E370">
        <v>0</v>
      </c>
      <c r="F370">
        <v>0.0187930254570501</v>
      </c>
      <c r="G370">
        <v>0.0027555774</v>
      </c>
      <c r="H370">
        <v>2.813491053294768</v>
      </c>
      <c r="I370">
        <v>1.495136953893066</v>
      </c>
    </row>
    <row r="371" spans="1:9">
      <c r="A371" t="s">
        <v>153</v>
      </c>
      <c r="B371" t="s">
        <v>251</v>
      </c>
      <c r="C371">
        <v>2023</v>
      </c>
      <c r="D371" t="s">
        <v>265</v>
      </c>
      <c r="E371">
        <v>0</v>
      </c>
      <c r="F371">
        <v>0.0187559076355329</v>
      </c>
      <c r="G371">
        <v>0.0026488714</v>
      </c>
      <c r="H371">
        <v>2.793022898778125</v>
      </c>
      <c r="I371">
        <v>1.579549221080544</v>
      </c>
    </row>
    <row r="372" spans="1:9">
      <c r="A372" t="s">
        <v>153</v>
      </c>
      <c r="B372" t="s">
        <v>251</v>
      </c>
      <c r="C372">
        <v>2024</v>
      </c>
      <c r="D372" t="s">
        <v>265</v>
      </c>
      <c r="E372">
        <v>0</v>
      </c>
      <c r="F372">
        <v>0.013559174797213</v>
      </c>
      <c r="G372">
        <v>0.0026488714</v>
      </c>
      <c r="H372">
        <v>2.927232258296355</v>
      </c>
      <c r="I372">
        <v>1.53351675837919</v>
      </c>
    </row>
    <row r="373" spans="1:9">
      <c r="A373" t="s">
        <v>154</v>
      </c>
      <c r="B373" t="s">
        <v>252</v>
      </c>
      <c r="C373">
        <v>2022</v>
      </c>
      <c r="D373" t="s">
        <v>267</v>
      </c>
      <c r="E373">
        <v>0.0114942528307437</v>
      </c>
      <c r="F373">
        <v>0.0019610704039387</v>
      </c>
      <c r="G373">
        <v>0.0041337484</v>
      </c>
      <c r="H373">
        <v>5.050934810351863</v>
      </c>
      <c r="I373">
        <v>0.2041963887573121</v>
      </c>
    </row>
    <row r="374" spans="1:9">
      <c r="A374" t="s">
        <v>154</v>
      </c>
      <c r="B374" t="s">
        <v>252</v>
      </c>
      <c r="C374">
        <v>2023</v>
      </c>
      <c r="D374" t="s">
        <v>267</v>
      </c>
      <c r="E374">
        <v>0.0114942528307437</v>
      </c>
      <c r="F374">
        <v>0.0048485464240623</v>
      </c>
      <c r="G374">
        <v>0.003973883</v>
      </c>
      <c r="H374">
        <v>5.198952502593801</v>
      </c>
      <c r="I374">
        <v>0.2035496296885348</v>
      </c>
    </row>
    <row r="375" spans="1:9">
      <c r="A375" t="s">
        <v>154</v>
      </c>
      <c r="B375" t="s">
        <v>252</v>
      </c>
      <c r="C375">
        <v>2024</v>
      </c>
      <c r="D375" t="s">
        <v>267</v>
      </c>
      <c r="E375">
        <v>0.0114942528307437</v>
      </c>
      <c r="F375">
        <v>0.0018065543671592</v>
      </c>
      <c r="G375">
        <v>0.003973883</v>
      </c>
      <c r="H375">
        <v>5.866528683112842</v>
      </c>
      <c r="I375">
        <v>0.1893313484143783</v>
      </c>
    </row>
    <row r="376" spans="1:9">
      <c r="A376" t="s">
        <v>154</v>
      </c>
      <c r="B376" t="s">
        <v>252</v>
      </c>
      <c r="C376">
        <v>2025</v>
      </c>
      <c r="D376" t="s">
        <v>267</v>
      </c>
      <c r="E376">
        <v>0.0114942528307437</v>
      </c>
      <c r="F376">
        <v>0.0066276607722761</v>
      </c>
      <c r="G376">
        <v>0.003973883</v>
      </c>
      <c r="H376">
        <v>4.737383770665065</v>
      </c>
      <c r="I376">
        <v>0.3408751382646952</v>
      </c>
    </row>
    <row r="377" spans="1:9">
      <c r="A377" t="s">
        <v>155</v>
      </c>
      <c r="B377" t="s">
        <v>253</v>
      </c>
      <c r="C377">
        <v>2022</v>
      </c>
      <c r="D377" t="s">
        <v>274</v>
      </c>
      <c r="E377">
        <v>0.0114942528307437</v>
      </c>
      <c r="F377">
        <v>0.0092141470278431</v>
      </c>
      <c r="G377">
        <v>0.004179111</v>
      </c>
      <c r="H377">
        <v>5.967591277658467</v>
      </c>
      <c r="I377">
        <v>0.6309547230263343</v>
      </c>
    </row>
    <row r="378" spans="1:9">
      <c r="A378" t="s">
        <v>155</v>
      </c>
      <c r="B378" t="s">
        <v>253</v>
      </c>
      <c r="C378">
        <v>2023</v>
      </c>
      <c r="D378" t="s">
        <v>274</v>
      </c>
      <c r="E378">
        <v>0.0114942528307437</v>
      </c>
      <c r="F378">
        <v>0.020123081587173</v>
      </c>
      <c r="G378">
        <v>0.0040174993</v>
      </c>
      <c r="H378">
        <v>6.991242838026541</v>
      </c>
      <c r="I378">
        <v>0.5283091937107892</v>
      </c>
    </row>
    <row r="379" spans="1:9">
      <c r="A379" t="s">
        <v>155</v>
      </c>
      <c r="B379" t="s">
        <v>253</v>
      </c>
      <c r="C379">
        <v>2024</v>
      </c>
      <c r="D379" t="s">
        <v>274</v>
      </c>
      <c r="E379">
        <v>0.0114942528307437</v>
      </c>
      <c r="F379">
        <v>0.026141290986642</v>
      </c>
      <c r="G379">
        <v>0.0040174993</v>
      </c>
      <c r="H379">
        <v>7.586776823622755</v>
      </c>
      <c r="I379">
        <v>0.5323862329764673</v>
      </c>
    </row>
    <row r="380" spans="1:9">
      <c r="A380" t="s">
        <v>155</v>
      </c>
      <c r="B380" t="s">
        <v>253</v>
      </c>
      <c r="C380">
        <v>2025</v>
      </c>
      <c r="D380" t="s">
        <v>274</v>
      </c>
      <c r="E380">
        <v>0.0114942528307437</v>
      </c>
      <c r="F380">
        <v>0.0515666104925268</v>
      </c>
      <c r="G380">
        <v>0.003918965</v>
      </c>
      <c r="H380">
        <v>7.563292774125355</v>
      </c>
      <c r="I380">
        <v>0.6639848057189586</v>
      </c>
    </row>
    <row r="381" spans="1:9">
      <c r="A381" t="s">
        <v>156</v>
      </c>
      <c r="B381" t="s">
        <v>254</v>
      </c>
      <c r="C381">
        <v>2022</v>
      </c>
      <c r="D381" t="s">
        <v>274</v>
      </c>
      <c r="E381">
        <v>0</v>
      </c>
      <c r="F381">
        <v>0.0041673906961074</v>
      </c>
      <c r="G381">
        <v>0.0029168453</v>
      </c>
      <c r="H381">
        <v>2.113548431412804</v>
      </c>
      <c r="I381">
        <v>0.8191425905816496</v>
      </c>
    </row>
    <row r="382" spans="1:9">
      <c r="A382" t="s">
        <v>156</v>
      </c>
      <c r="B382" t="s">
        <v>254</v>
      </c>
      <c r="C382">
        <v>2023</v>
      </c>
      <c r="D382" t="s">
        <v>274</v>
      </c>
      <c r="E382">
        <v>0</v>
      </c>
      <c r="F382">
        <v>0.06361135372423229</v>
      </c>
      <c r="G382">
        <v>0.0028984945</v>
      </c>
      <c r="H382">
        <v>1.729762976214769</v>
      </c>
      <c r="I382">
        <v>1.689825736245339</v>
      </c>
    </row>
    <row r="383" spans="1:9">
      <c r="A383" t="s">
        <v>156</v>
      </c>
      <c r="B383" t="s">
        <v>254</v>
      </c>
      <c r="C383">
        <v>2024</v>
      </c>
      <c r="D383" t="s">
        <v>274</v>
      </c>
      <c r="E383">
        <v>0</v>
      </c>
      <c r="F383">
        <v>0.0189826130611523</v>
      </c>
      <c r="G383">
        <v>0.0028452289</v>
      </c>
      <c r="H383">
        <v>1.786074782666361</v>
      </c>
      <c r="I383">
        <v>2.368660894473016</v>
      </c>
    </row>
    <row r="384" spans="1:9">
      <c r="A384" t="s">
        <v>156</v>
      </c>
      <c r="B384" t="s">
        <v>254</v>
      </c>
      <c r="C384">
        <v>2025</v>
      </c>
      <c r="D384" t="s">
        <v>274</v>
      </c>
      <c r="E384">
        <v>0</v>
      </c>
      <c r="F384">
        <v>0.0047157876713188</v>
      </c>
      <c r="G384">
        <v>0.0026488714</v>
      </c>
      <c r="H384">
        <v>2.202792119653947</v>
      </c>
      <c r="I384">
        <v>1.963106086320792</v>
      </c>
    </row>
    <row r="385" spans="1:9">
      <c r="A385" t="s">
        <v>157</v>
      </c>
      <c r="B385" t="s">
        <v>255</v>
      </c>
      <c r="C385">
        <v>2021</v>
      </c>
      <c r="D385" t="s">
        <v>270</v>
      </c>
      <c r="E385">
        <v>0</v>
      </c>
      <c r="F385">
        <v>0.0435688339061986</v>
      </c>
      <c r="G385">
        <v>0.002843457</v>
      </c>
      <c r="H385">
        <v>1.296178487704234</v>
      </c>
      <c r="I385">
        <v>2.175449321432938</v>
      </c>
    </row>
    <row r="386" spans="1:9">
      <c r="A386" t="s">
        <v>157</v>
      </c>
      <c r="B386" t="s">
        <v>255</v>
      </c>
      <c r="C386">
        <v>2022</v>
      </c>
      <c r="D386" t="s">
        <v>270</v>
      </c>
      <c r="E386">
        <v>0</v>
      </c>
      <c r="F386">
        <v>0.03002349421027</v>
      </c>
      <c r="G386">
        <v>0.002843457</v>
      </c>
      <c r="H386">
        <v>1.21420183469022</v>
      </c>
      <c r="I386">
        <v>1.934641885368209</v>
      </c>
    </row>
    <row r="387" spans="1:9">
      <c r="A387" t="s">
        <v>157</v>
      </c>
      <c r="B387" t="s">
        <v>255</v>
      </c>
      <c r="C387">
        <v>2023</v>
      </c>
      <c r="D387" t="s">
        <v>270</v>
      </c>
      <c r="E387">
        <v>0</v>
      </c>
      <c r="F387">
        <v>0.02493512400751</v>
      </c>
      <c r="G387">
        <v>0.0027333575</v>
      </c>
      <c r="H387">
        <v>1.136612565564852</v>
      </c>
      <c r="I387">
        <v>1.89269717624148</v>
      </c>
    </row>
    <row r="388" spans="1:9">
      <c r="A388" t="s">
        <v>157</v>
      </c>
      <c r="B388" t="s">
        <v>255</v>
      </c>
      <c r="C388">
        <v>2024</v>
      </c>
      <c r="D388" t="s">
        <v>270</v>
      </c>
      <c r="E388">
        <v>0</v>
      </c>
      <c r="F388">
        <v>0.011300330364885</v>
      </c>
      <c r="G388">
        <v>0.0027333575</v>
      </c>
      <c r="H388">
        <v>1.249791656979869</v>
      </c>
      <c r="I388">
        <v>1.696514404909459</v>
      </c>
    </row>
    <row r="389" spans="1:9">
      <c r="A389" t="s">
        <v>158</v>
      </c>
      <c r="B389" t="s">
        <v>256</v>
      </c>
      <c r="C389">
        <v>2021</v>
      </c>
      <c r="D389" t="s">
        <v>277</v>
      </c>
      <c r="E389">
        <v>0</v>
      </c>
      <c r="F389">
        <v>0.5071021715445895</v>
      </c>
      <c r="G389">
        <v>0.0032249268</v>
      </c>
      <c r="H389">
        <v>1.897357098412149</v>
      </c>
      <c r="I389">
        <v>8.836766306527172</v>
      </c>
    </row>
    <row r="390" spans="1:9">
      <c r="A390" t="s">
        <v>158</v>
      </c>
      <c r="B390" t="s">
        <v>256</v>
      </c>
      <c r="C390">
        <v>2022</v>
      </c>
      <c r="D390" t="s">
        <v>277</v>
      </c>
      <c r="E390">
        <v>0</v>
      </c>
      <c r="F390">
        <v>0.09322851059705101</v>
      </c>
      <c r="G390">
        <v>0.0034823122</v>
      </c>
      <c r="H390">
        <v>1.779541830730846</v>
      </c>
      <c r="I390">
        <v>9.19395774284976</v>
      </c>
    </row>
    <row r="391" spans="1:9">
      <c r="A391" t="s">
        <v>158</v>
      </c>
      <c r="B391" t="s">
        <v>256</v>
      </c>
      <c r="C391">
        <v>2023</v>
      </c>
      <c r="D391" t="s">
        <v>277</v>
      </c>
      <c r="E391">
        <v>0</v>
      </c>
      <c r="F391">
        <v>0.0734261391235662</v>
      </c>
      <c r="G391">
        <v>0.0034823122</v>
      </c>
      <c r="H391">
        <v>1.755012663103926</v>
      </c>
      <c r="I391">
        <v>13.36363665710066</v>
      </c>
    </row>
    <row r="392" spans="1:9">
      <c r="A392" t="s">
        <v>158</v>
      </c>
      <c r="B392" t="s">
        <v>256</v>
      </c>
      <c r="C392">
        <v>2024</v>
      </c>
      <c r="D392" t="s">
        <v>277</v>
      </c>
      <c r="E392">
        <v>0</v>
      </c>
      <c r="F392">
        <v>0.0750451974661709</v>
      </c>
      <c r="G392">
        <v>0.0034101964</v>
      </c>
      <c r="H392">
        <v>1.67408552362644</v>
      </c>
      <c r="I392">
        <v>15.77996699466356</v>
      </c>
    </row>
    <row r="393" spans="1:9">
      <c r="A393" t="s">
        <v>159</v>
      </c>
      <c r="B393" t="s">
        <v>257</v>
      </c>
      <c r="C393">
        <v>2022</v>
      </c>
      <c r="D393" t="s">
        <v>262</v>
      </c>
      <c r="E393">
        <v>0.0114942528307437</v>
      </c>
      <c r="F393">
        <v>0.0015644005572141</v>
      </c>
      <c r="G393">
        <v>0.003973883</v>
      </c>
      <c r="H393">
        <v>6.350495840385309</v>
      </c>
      <c r="I393">
        <v>0.2673051151851075</v>
      </c>
    </row>
    <row r="394" spans="1:9">
      <c r="A394" t="s">
        <v>159</v>
      </c>
      <c r="B394" t="s">
        <v>257</v>
      </c>
      <c r="C394">
        <v>2023</v>
      </c>
      <c r="D394" t="s">
        <v>262</v>
      </c>
      <c r="E394">
        <v>0.0114942528307437</v>
      </c>
      <c r="F394">
        <v>0.0134951284518752</v>
      </c>
      <c r="G394">
        <v>0.0041337484</v>
      </c>
      <c r="H394">
        <v>4.931672301118286</v>
      </c>
      <c r="I394">
        <v>0.2235970935680599</v>
      </c>
    </row>
    <row r="395" spans="1:9">
      <c r="A395" t="s">
        <v>159</v>
      </c>
      <c r="B395" t="s">
        <v>257</v>
      </c>
      <c r="C395">
        <v>2024</v>
      </c>
      <c r="D395" t="s">
        <v>262</v>
      </c>
      <c r="E395">
        <v>0.0114942528307437</v>
      </c>
      <c r="F395">
        <v>0.0043815103577871</v>
      </c>
      <c r="G395">
        <v>0.003973883</v>
      </c>
      <c r="H395">
        <v>5.612105151479089</v>
      </c>
      <c r="I395">
        <v>0.2195662523353643</v>
      </c>
    </row>
    <row r="396" spans="1:9">
      <c r="A396" t="s">
        <v>159</v>
      </c>
      <c r="B396" t="s">
        <v>257</v>
      </c>
      <c r="C396">
        <v>2025</v>
      </c>
      <c r="D396" t="s">
        <v>262</v>
      </c>
      <c r="E396">
        <v>0.0114942528307437</v>
      </c>
      <c r="F396">
        <v>0.0057841939438806</v>
      </c>
      <c r="G396">
        <v>0.003973883</v>
      </c>
      <c r="H396">
        <v>5.96096613719191</v>
      </c>
      <c r="I396">
        <v>0.2318398085738534</v>
      </c>
    </row>
    <row r="397" spans="1:9">
      <c r="A397" t="s">
        <v>160</v>
      </c>
      <c r="B397" t="s">
        <v>258</v>
      </c>
      <c r="C397">
        <v>2022</v>
      </c>
      <c r="D397" t="s">
        <v>264</v>
      </c>
      <c r="E397">
        <v>0</v>
      </c>
      <c r="F397">
        <v>0.0037388436267474</v>
      </c>
      <c r="G397">
        <v>0.003452657</v>
      </c>
      <c r="H397">
        <v>4.442413251353708</v>
      </c>
      <c r="I397">
        <v>0.6885397523212377</v>
      </c>
    </row>
    <row r="398" spans="1:9">
      <c r="A398" t="s">
        <v>160</v>
      </c>
      <c r="B398" t="s">
        <v>258</v>
      </c>
      <c r="C398">
        <v>2023</v>
      </c>
      <c r="D398" t="s">
        <v>264</v>
      </c>
      <c r="E398">
        <v>0</v>
      </c>
      <c r="F398">
        <v>0.0068912978040878</v>
      </c>
      <c r="G398">
        <v>0.0035630846</v>
      </c>
      <c r="H398">
        <v>4.54908416353754</v>
      </c>
      <c r="I398">
        <v>0.7682969762559816</v>
      </c>
    </row>
    <row r="399" spans="1:9">
      <c r="A399" t="s">
        <v>160</v>
      </c>
      <c r="B399" t="s">
        <v>258</v>
      </c>
      <c r="C399">
        <v>2024</v>
      </c>
      <c r="D399" t="s">
        <v>264</v>
      </c>
      <c r="E399">
        <v>0</v>
      </c>
      <c r="F399">
        <v>0.0031119066090227</v>
      </c>
      <c r="G399">
        <v>0.0035630846</v>
      </c>
      <c r="H399">
        <v>4.903867488135496</v>
      </c>
      <c r="I399">
        <v>0.7312219029107691</v>
      </c>
    </row>
    <row r="400" spans="1:9">
      <c r="A400" t="s">
        <v>160</v>
      </c>
      <c r="B400" t="s">
        <v>258</v>
      </c>
      <c r="C400">
        <v>2025</v>
      </c>
      <c r="D400" t="s">
        <v>264</v>
      </c>
      <c r="E400">
        <v>0.0114942528307437</v>
      </c>
      <c r="F400">
        <v>0.002105227655516</v>
      </c>
      <c r="G400">
        <v>0.0035630846</v>
      </c>
      <c r="H400">
        <v>6.05002603535956</v>
      </c>
      <c r="I400">
        <v>0.6604990495863229</v>
      </c>
    </row>
    <row r="401" spans="1:9">
      <c r="A401" t="s">
        <v>161</v>
      </c>
      <c r="B401" t="s">
        <v>259</v>
      </c>
      <c r="C401">
        <v>2021</v>
      </c>
      <c r="D401" t="s">
        <v>274</v>
      </c>
      <c r="E401">
        <v>0.0005328709958120999</v>
      </c>
      <c r="F401">
        <v>0.0013088877946413</v>
      </c>
      <c r="G401">
        <v>0.002897508</v>
      </c>
      <c r="H401">
        <v>3.281054354793225</v>
      </c>
      <c r="I401">
        <v>0.2829804777638705</v>
      </c>
    </row>
    <row r="402" spans="1:9">
      <c r="A402" t="s">
        <v>161</v>
      </c>
      <c r="B402" t="s">
        <v>259</v>
      </c>
      <c r="C402">
        <v>2022</v>
      </c>
      <c r="D402" t="s">
        <v>274</v>
      </c>
      <c r="E402">
        <v>0.0114942528307437</v>
      </c>
      <c r="F402">
        <v>0.0011096628193339</v>
      </c>
      <c r="G402">
        <v>0.003973883</v>
      </c>
      <c r="H402">
        <v>5.290111455351596</v>
      </c>
      <c r="I402">
        <v>0.211193084814585</v>
      </c>
    </row>
    <row r="403" spans="1:9">
      <c r="A403" t="s">
        <v>161</v>
      </c>
      <c r="B403" t="s">
        <v>259</v>
      </c>
      <c r="C403">
        <v>2023</v>
      </c>
      <c r="D403" t="s">
        <v>274</v>
      </c>
      <c r="E403">
        <v>0.0114942528307437</v>
      </c>
      <c r="F403">
        <v>0.0137449665864477</v>
      </c>
      <c r="G403">
        <v>0.0041337484</v>
      </c>
      <c r="H403">
        <v>4.752499744934003</v>
      </c>
      <c r="I403">
        <v>0.2029911817267409</v>
      </c>
    </row>
    <row r="404" spans="1:9">
      <c r="A404" t="s">
        <v>161</v>
      </c>
      <c r="B404" t="s">
        <v>259</v>
      </c>
      <c r="C404">
        <v>2024</v>
      </c>
      <c r="D404" t="s">
        <v>274</v>
      </c>
      <c r="E404">
        <v>0.0114942528307437</v>
      </c>
      <c r="F404">
        <v>0.0038331648016186</v>
      </c>
      <c r="G404">
        <v>0.0038507737</v>
      </c>
      <c r="H404">
        <v>4.492967956390197</v>
      </c>
      <c r="I404">
        <v>0.1581691663032555</v>
      </c>
    </row>
  </sheetData>
  <autoFilter ref="A1:I40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279</v>
      </c>
    </row>
    <row r="3" spans="1:3">
      <c r="A3" s="5" t="s">
        <v>280</v>
      </c>
      <c r="B3" s="5" t="s">
        <v>281</v>
      </c>
      <c r="C3" s="5" t="s">
        <v>282</v>
      </c>
    </row>
    <row r="4" spans="1:3">
      <c r="A4" t="s">
        <v>283</v>
      </c>
      <c r="B4" t="s">
        <v>284</v>
      </c>
      <c r="C4" s="3">
        <v>0.0286724516451054</v>
      </c>
    </row>
    <row r="5" spans="1:3">
      <c r="A5" t="s">
        <v>285</v>
      </c>
      <c r="B5" t="s">
        <v>286</v>
      </c>
      <c r="C5" s="3">
        <v>0.03297331939187121</v>
      </c>
    </row>
    <row r="6" spans="1:3">
      <c r="A6" t="s">
        <v>287</v>
      </c>
      <c r="B6" t="s">
        <v>288</v>
      </c>
      <c r="C6" s="3">
        <v>0.04587592263216865</v>
      </c>
    </row>
    <row r="7" spans="1:3">
      <c r="A7" t="s">
        <v>289</v>
      </c>
      <c r="B7" t="s">
        <v>290</v>
      </c>
      <c r="C7" s="3">
        <v>0.04014143230314757</v>
      </c>
    </row>
    <row r="8" spans="1:3">
      <c r="A8" t="s">
        <v>291</v>
      </c>
      <c r="B8" t="s">
        <v>292</v>
      </c>
      <c r="C8" s="3">
        <v>0.0387078097208923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Model Logic &amp; Inputs</vt:lpstr>
      <vt:lpstr>Forensic Audit</vt:lpstr>
      <vt:lpstr>Transparent Calc</vt:lpstr>
      <vt:lpstr>Full Data</vt:lpstr>
      <vt:lpstr>Scenario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2025-12-06T18:09:05Z</dcterms:created>
  <dcterms:modified xsi:type="dcterms:W3CDTF">2025-12-06T18:09:05Z</dcterms:modified>
</cp:coreProperties>
</file>